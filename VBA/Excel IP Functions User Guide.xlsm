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9" codeName="{857A39E2-67AF-9BA6-E15C-A4B3A0C75593}"/>
  <workbookPr codeName="ThisWorkbook"/>
  <mc:AlternateContent xmlns:mc="http://schemas.openxmlformats.org/markup-compatibility/2006">
    <mc:Choice Requires="x15">
      <x15ac:absPath xmlns:x15ac="http://schemas.microsoft.com/office/spreadsheetml/2010/11/ac" url="/Users/ngrisonw/Dropbox/Work/Networking/Excel IP Functions/"/>
    </mc:Choice>
  </mc:AlternateContent>
  <xr:revisionPtr revIDLastSave="0" documentId="13_ncr:1_{B1F3D34A-78DB-B04B-BA4C-85DCC92FD3BE}" xr6:coauthVersionLast="47" xr6:coauthVersionMax="47" xr10:uidLastSave="{00000000-0000-0000-0000-000000000000}"/>
  <bookViews>
    <workbookView xWindow="6140" yWindow="560" windowWidth="45020" windowHeight="32300" tabRatio="760" xr2:uid="{00000000-000D-0000-FFFF-FFFF00000000}"/>
  </bookViews>
  <sheets>
    <sheet name="Introduction" sheetId="4" r:id="rId1"/>
    <sheet name="Hosts Functions" sheetId="2" r:id="rId2"/>
    <sheet name="Subnet Functions" sheetId="3" r:id="rId3"/>
    <sheet name="Summary Functions" sheetId="5" r:id="rId4"/>
    <sheet name="Other Functions" sheetId="7" r:id="rId5"/>
    <sheet name="Array Functions" sheetId="6" r:id="rId6"/>
    <sheet name="Macros" sheetId="8" r:id="rId7"/>
    <sheet name="Rules" sheetId="9" r:id="rId8"/>
    <sheet name="IP Formulas" sheetId="12" r:id="rId9"/>
    <sheet name="Prefix Table" sheetId="13" r:id="rId10"/>
    <sheet name="Test Sheet" sheetId="1" r:id="rId11"/>
    <sheet name="Sheet1" sheetId="10" r:id="rId12"/>
    <sheet name="Sheet2" sheetId="11" r:id="rId13"/>
  </sheets>
  <functionGroups builtInGroupCount="19"/>
  <definedNames>
    <definedName name="_xleta.AND" hidden="1" xlm="1">#NAME?</definedName>
    <definedName name="_xleta.CELL" hidden="1" xlm="1">#NAME?</definedName>
    <definedName name="_xleta.CONVERT" hidden="1" xlm="1">#NAME?</definedName>
    <definedName name="_xleta.DEC2BIN" hidden="1" xlm="1">#NAME?</definedName>
    <definedName name="_xleta.OFFSET" hidden="1" xlm="1">#NAME?</definedName>
    <definedName name="_xleta.SORT" hidden="1" xlm="1">#NAME?</definedName>
    <definedName name="_xleta.SORTBY" hidden="1" xlm="1">#NAME?</definedName>
    <definedName name="_xleta.T" hidden="1" xlm="1">#NAME?</definedName>
    <definedName name="_xleta.TEXTSPLIT" hidden="1" xlm="1">#NAME?</definedName>
    <definedName name="_xleta.TRANSPOSE" hidden="1" xlm="1">#NAME?</definedName>
    <definedName name="_xleta.VALUE" hidden="1" xlm="1">#NAME?</definedName>
    <definedName name="_xlpm.a" hidden="1" xlm="1">#NAME?</definedName>
    <definedName name="_xlpm.b" hidden="1" xlm="1">#NAME?</definedName>
    <definedName name="_xlpm.BABA" hidden="1" xlm="1">#NAME?</definedName>
    <definedName name="_xlpm.bob" hidden="1" xlm="1">#NAME?</definedName>
    <definedName name="_xlpm.c" hidden="1" xlm="1">#NAME?</definedName>
    <definedName name="_xlpm.cell" hidden="1" xlm="1">#NAME?</definedName>
    <definedName name="_xlpm.cells" hidden="1" xlm="1">#NAME?</definedName>
    <definedName name="_xlpm.d" hidden="1" xlm="1">#NAME?</definedName>
    <definedName name="_xlpm.ffset1" hidden="1" xlm="1">#NAME?</definedName>
    <definedName name="_xlpm.ffset2" hidden="1" xlm="1">#NAME?</definedName>
    <definedName name="_xlpm.ffset3" hidden="1" xlm="1">#NAME?</definedName>
    <definedName name="_xlpm.ffset4" hidden="1" xlm="1">#NAME?</definedName>
    <definedName name="_xlpm.fset1" hidden="1" xlm="1">#NAME?</definedName>
    <definedName name="_xlpm.fset2" hidden="1" xlm="1">#NAME?</definedName>
    <definedName name="_xlpm.fset3" hidden="1" xlm="1">#NAME?</definedName>
    <definedName name="_xlpm.fset4" hidden="1" xlm="1">#NAME?</definedName>
    <definedName name="_xlpm.i" hidden="1" xlm="1">#NAME?</definedName>
    <definedName name="_xlpm.ioctets" hidden="1" xlm="1">#NAME?</definedName>
    <definedName name="_xlpm.ip" hidden="1" xlm="1">#NAME?</definedName>
    <definedName name="_xlpm.ipoctets" hidden="1" xlm="1">#NAME?</definedName>
    <definedName name="_xlpm.octet" hidden="1" xlm="1">#NAME?</definedName>
    <definedName name="_xlpm.octet1" hidden="1" xlm="1">#NAME?</definedName>
    <definedName name="_xlpm.octet2" hidden="1" xlm="1">#NAME?</definedName>
    <definedName name="_xlpm.octet3" hidden="1" xlm="1">#NAME?</definedName>
    <definedName name="_xlpm.octet4" hidden="1" xlm="1">#NAME?</definedName>
    <definedName name="_xlpm.octets" hidden="1" xlm="1">#NAME?</definedName>
    <definedName name="_xlpm.offoffset4" hidden="1" xlm="1">#NAME?</definedName>
    <definedName name="_xlpm.offseoffset4" hidden="1" xlm="1">#NAME?</definedName>
    <definedName name="_xlpm.offset" hidden="1" xlm="1">#NAME?</definedName>
    <definedName name="_xlpm.offset1" hidden="1" xlm="1">#NAME?</definedName>
    <definedName name="_xlpm.offset1offset4" hidden="1" xlm="1">#NAME?</definedName>
    <definedName name="_xlpm.offset2" hidden="1" xlm="1">#NAME?</definedName>
    <definedName name="_xlpm.offset2offset4" hidden="1" xlm="1">#NAME?</definedName>
    <definedName name="_xlpm.offset3" hidden="1" xlm="1">#NAME?</definedName>
    <definedName name="_xlpm.offset3offset4" hidden="1" xlm="1">#NAME?</definedName>
    <definedName name="_xlpm.offset4" hidden="1" xlm="1">#NAME?</definedName>
    <definedName name="_xlpm.offset4offset4" hidden="1" xlm="1">#NAME?</definedName>
    <definedName name="_xlpm.offsetoffset" hidden="1" xlm="1">#NAME?</definedName>
    <definedName name="_xlpm.offsetoffset4" hidden="1" xlm="1">#NAME?</definedName>
    <definedName name="_xlpm.offsoffset4" hidden="1" xlm="1">#NAME?</definedName>
    <definedName name="_xlpm.ofoffset4" hidden="1" xlm="1">#NAME?</definedName>
    <definedName name="_xlpm.ooffset4" hidden="1" xlm="1">#NAME?</definedName>
    <definedName name="_xlpm.outofbound" hidden="1" xlm="1">#NAME?</definedName>
    <definedName name="_xlpm.p" hidden="1" xlm="1">#NAME?</definedName>
    <definedName name="_xlpm.pf" hidden="1" xlm="1">#NAME?</definedName>
    <definedName name="_xlpm.pfx" hidden="1" xlm="1">#NAME?</definedName>
    <definedName name="_xlpm.rc" hidden="1" xlm="1">#NAME?</definedName>
    <definedName name="_xlpm.s" hidden="1" xlm="1">#NAME?</definedName>
    <definedName name="_xlpm.sp" hidden="1" xlm="1">#NAME?</definedName>
    <definedName name="_xlpm.spl" hidden="1" xlm="1">#NAME?</definedName>
    <definedName name="_xlpm.spli" hidden="1" xlm="1">#NAME?</definedName>
    <definedName name="_xlpm.split" hidden="1" xlm="1">#NAME?</definedName>
    <definedName name="_xlpm.sr" hidden="1" xlm="1">#NAME?</definedName>
    <definedName name="_xlpm.src" hidden="1" xlm="1">#NAME?</definedName>
    <definedName name="_xlpm.T" hidden="1" xlm="1">#NAME?</definedName>
    <definedName name="_xlpm.TO" hidden="1" xlm="1">#NAME?</definedName>
    <definedName name="_xlpm.TOT" hidden="1" xlm="1">#NAME?</definedName>
    <definedName name="_xlpm.TOTO" hidden="1" xlm="1">#NAME?</definedName>
    <definedName name="_xlpm.var" hidden="1" xlm="1">#NAME?</definedName>
    <definedName name="_xlpm.x" hidden="1" xlm="1">#NAME?</definedName>
    <definedName name="_xlpm.z" hidden="1" xlm="1">#NAME?</definedName>
    <definedName name="qdmenu" localSheetId="0">#REF!</definedName>
    <definedName name="qdmenu" localSheetId="6">#REF!</definedName>
    <definedName name="qdmenu" localSheetId="4">#REF!</definedName>
    <definedName name="qdmenu" localSheetId="7">#REF!</definedName>
    <definedName name="qdmenu" localSheetId="2">#REF!</definedName>
    <definedName name="qdmenu" localSheetId="3">#REF!</definedName>
    <definedName name="qdmenu">#REF!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12" l="1" a="1"/>
  <c r="F15" i="12" s="1"/>
  <c r="C24" i="12" s="1" a="1"/>
  <c r="C24" i="12" s="1"/>
  <c r="C18" i="12" l="1" a="1"/>
  <c r="C18" i="12" s="1"/>
  <c r="C15" i="12" a="1"/>
  <c r="C15" i="12" s="1"/>
  <c r="C21" i="12" a="1"/>
  <c r="C21" i="12" s="1"/>
  <c r="C30" i="12" a="1"/>
  <c r="C30" i="12" s="1"/>
  <c r="C27" i="12" a="1"/>
  <c r="C27" i="12" s="1"/>
  <c r="E2" i="13"/>
  <c r="E3" i="13"/>
  <c r="E4" i="13"/>
  <c r="E5" i="13"/>
  <c r="E6" i="13"/>
  <c r="E7" i="13"/>
  <c r="E8" i="13"/>
  <c r="G8" i="13" s="1"/>
  <c r="E9" i="13"/>
  <c r="G9" i="13" s="1"/>
  <c r="E10" i="13"/>
  <c r="E11" i="13"/>
  <c r="E12" i="13"/>
  <c r="E13" i="13"/>
  <c r="E14" i="13"/>
  <c r="E15" i="13"/>
  <c r="E16" i="13"/>
  <c r="E17" i="13"/>
  <c r="E18" i="13"/>
  <c r="E19" i="13"/>
  <c r="E20" i="13"/>
  <c r="E21" i="13"/>
  <c r="E22" i="13"/>
  <c r="E23" i="13"/>
  <c r="E24" i="13"/>
  <c r="E25" i="13"/>
  <c r="E26" i="13"/>
  <c r="E27" i="13"/>
  <c r="E28" i="13"/>
  <c r="E29" i="13"/>
  <c r="E30" i="13"/>
  <c r="E31" i="13"/>
  <c r="E32" i="13"/>
  <c r="E33" i="13"/>
  <c r="E34" i="13"/>
  <c r="F2" i="13"/>
  <c r="F3" i="13"/>
  <c r="F4" i="13"/>
  <c r="F5" i="13"/>
  <c r="F6" i="13"/>
  <c r="F7" i="13"/>
  <c r="F8" i="13"/>
  <c r="F9" i="13"/>
  <c r="F10" i="13"/>
  <c r="F11" i="13"/>
  <c r="F12" i="13"/>
  <c r="F13" i="13"/>
  <c r="F14" i="13"/>
  <c r="F15" i="13"/>
  <c r="F16" i="13"/>
  <c r="F17" i="13"/>
  <c r="F18" i="13"/>
  <c r="F19" i="13"/>
  <c r="F20" i="13"/>
  <c r="F21" i="13"/>
  <c r="G21" i="13" s="1"/>
  <c r="F22" i="13"/>
  <c r="H22" i="13" s="1"/>
  <c r="F23" i="13"/>
  <c r="F24" i="13"/>
  <c r="F25" i="13"/>
  <c r="F26" i="13"/>
  <c r="F27" i="13"/>
  <c r="F28" i="13"/>
  <c r="G28" i="13" s="1"/>
  <c r="F29" i="13"/>
  <c r="F30" i="13"/>
  <c r="H30" i="13" s="1"/>
  <c r="F31" i="13"/>
  <c r="H31" i="13" s="1"/>
  <c r="F32" i="13"/>
  <c r="G32" i="13" s="1"/>
  <c r="F33" i="13"/>
  <c r="F34" i="13"/>
  <c r="H5" i="13"/>
  <c r="H6" i="13"/>
  <c r="G22" i="13"/>
  <c r="G23"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2" i="13"/>
  <c r="G19" i="13"/>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2" i="13"/>
  <c r="H2" i="13"/>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H3" i="13"/>
  <c r="H4" i="13"/>
  <c r="H7" i="13"/>
  <c r="H19" i="13"/>
  <c r="H20" i="13"/>
  <c r="G2" i="13"/>
  <c r="G3" i="13"/>
  <c r="G4" i="13"/>
  <c r="G5" i="13"/>
  <c r="G6" i="13"/>
  <c r="G7" i="13"/>
  <c r="G20" i="13"/>
  <c r="C8" i="12"/>
  <c r="C7" i="12"/>
  <c r="C6" i="12"/>
  <c r="C5" i="12" a="1"/>
  <c r="C5" i="12" s="1"/>
  <c r="I4" i="12" a="1"/>
  <c r="I4" i="12" s="1"/>
  <c r="C4" i="12" a="1"/>
  <c r="C4" i="12" s="1"/>
  <c r="G14" i="13" l="1"/>
  <c r="H29" i="13"/>
  <c r="G13" i="13"/>
  <c r="H28" i="13"/>
  <c r="H12" i="13"/>
  <c r="H27" i="13"/>
  <c r="G11" i="13"/>
  <c r="H10" i="13"/>
  <c r="G12" i="13"/>
  <c r="H21" i="13"/>
  <c r="G27" i="13"/>
  <c r="G16" i="13"/>
  <c r="G15" i="13"/>
  <c r="H26" i="13"/>
  <c r="G30" i="13"/>
  <c r="H23" i="13"/>
  <c r="H9" i="13"/>
  <c r="G10" i="13"/>
  <c r="G25" i="13"/>
  <c r="H16" i="13"/>
  <c r="H25" i="13"/>
  <c r="H24" i="13"/>
  <c r="H8" i="13"/>
  <c r="H33" i="13"/>
  <c r="H17" i="13"/>
  <c r="H14" i="13"/>
  <c r="H13" i="13"/>
  <c r="H11" i="13"/>
  <c r="G24" i="13"/>
  <c r="H32" i="13"/>
  <c r="G29" i="13"/>
  <c r="H15" i="13"/>
  <c r="G31" i="13"/>
  <c r="G26" i="13"/>
  <c r="H34" i="13"/>
  <c r="H18" i="13"/>
  <c r="G34" i="13"/>
  <c r="G18" i="13"/>
  <c r="G33" i="13"/>
  <c r="G17" i="13"/>
  <c r="H3" i="11" a="1"/>
  <c r="H3" i="11" s="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B3" i="7"/>
  <c r="B3" i="8"/>
  <c r="B3" i="9"/>
  <c r="B3" i="6"/>
  <c r="B3" i="5"/>
  <c r="B3" i="3"/>
  <c r="B3" i="2"/>
  <c r="H3" i="1"/>
  <c r="J2" i="1"/>
  <c r="M3" i="1"/>
  <c r="H67" i="5"/>
  <c r="G45" i="2"/>
  <c r="G31" i="6" a="1"/>
  <c r="L4" i="1"/>
  <c r="H4" i="1"/>
  <c r="G34" i="2"/>
  <c r="G32" i="3"/>
  <c r="G35" i="3"/>
  <c r="L3" i="1"/>
  <c r="G44" i="2"/>
  <c r="C31" i="6" a="1"/>
  <c r="G36" i="2"/>
  <c r="L2" i="1"/>
  <c r="N3" i="1"/>
  <c r="G39" i="2"/>
  <c r="H57" i="5"/>
  <c r="J4" i="1"/>
  <c r="G33" i="3"/>
  <c r="G41" i="2"/>
  <c r="B3" i="11" a="1"/>
  <c r="B10" i="11"/>
  <c r="B11" i="11" s="1"/>
  <c r="F2" i="1"/>
  <c r="K3" i="1"/>
  <c r="F4" i="1"/>
  <c r="G31" i="3"/>
  <c r="F89" i="6" a="1"/>
  <c r="C11" i="11"/>
  <c r="D11" i="11" s="1"/>
  <c r="K2" i="1"/>
  <c r="I2" i="1"/>
  <c r="O4" i="1"/>
  <c r="G37" i="2"/>
  <c r="J3" i="1"/>
  <c r="H49" i="5"/>
  <c r="N2" i="1"/>
  <c r="O2" i="1"/>
  <c r="G34" i="3"/>
  <c r="G115" i="6" a="1"/>
  <c r="G30" i="2"/>
  <c r="G3" i="1"/>
  <c r="H46" i="5"/>
  <c r="E4" i="1"/>
  <c r="F55" i="7"/>
  <c r="G42" i="2"/>
  <c r="N4" i="1"/>
  <c r="G31" i="2"/>
  <c r="M2" i="1"/>
  <c r="I4" i="1"/>
  <c r="F39" i="7"/>
  <c r="G38" i="2"/>
  <c r="G32" i="2"/>
  <c r="F69" i="7" a="1"/>
  <c r="G28" i="3"/>
  <c r="F3" i="1"/>
  <c r="F64" i="6" a="1"/>
  <c r="O3" i="1"/>
  <c r="H48" i="5"/>
  <c r="G35" i="2"/>
  <c r="H60" i="5"/>
  <c r="G4" i="1"/>
  <c r="M4" i="1"/>
  <c r="C12" i="11"/>
  <c r="E3" i="1"/>
  <c r="I3" i="1"/>
  <c r="H47" i="5"/>
  <c r="G40" i="2"/>
  <c r="E12" i="11"/>
  <c r="G2" i="1"/>
  <c r="H66" i="5"/>
  <c r="H51" i="5"/>
  <c r="E11" i="11"/>
  <c r="G43" i="2"/>
  <c r="H52" i="5"/>
  <c r="E2" i="1"/>
  <c r="H53" i="5"/>
  <c r="G27" i="3"/>
  <c r="G33" i="2"/>
  <c r="K4" i="1"/>
  <c r="H50" i="5"/>
  <c r="H2" i="1"/>
  <c r="G30" i="3"/>
  <c r="G26" i="3"/>
  <c r="G29" i="3"/>
  <c r="F22" i="7"/>
  <c r="F21" i="7"/>
  <c r="C13" i="11"/>
  <c r="E13" i="11"/>
  <c r="D13" i="11"/>
  <c r="C14" i="11"/>
  <c r="D14" i="11"/>
  <c r="C15" i="11"/>
  <c r="E14" i="11"/>
  <c r="D15" i="11"/>
  <c r="C16" i="11"/>
  <c r="E15" i="11"/>
  <c r="D16" i="11"/>
  <c r="E16" i="11"/>
  <c r="C17" i="11"/>
  <c r="C18" i="11"/>
  <c r="E17" i="11"/>
  <c r="D17" i="11"/>
  <c r="E18" i="11"/>
  <c r="C19" i="11"/>
  <c r="D18" i="11"/>
  <c r="D19" i="11"/>
  <c r="C20" i="11"/>
  <c r="E19" i="11"/>
  <c r="E20" i="11"/>
  <c r="D20" i="11"/>
  <c r="C21" i="11"/>
  <c r="C22" i="11"/>
  <c r="E21" i="11"/>
  <c r="D21" i="11"/>
  <c r="D22" i="11"/>
  <c r="C23" i="11"/>
  <c r="E22" i="11"/>
  <c r="C24" i="11"/>
  <c r="D23" i="11"/>
  <c r="E23" i="11"/>
  <c r="C25" i="11"/>
  <c r="D24" i="11"/>
  <c r="E24" i="11"/>
  <c r="D25" i="11"/>
  <c r="C26" i="11"/>
  <c r="E25" i="11"/>
  <c r="E26" i="11"/>
  <c r="D26" i="11"/>
  <c r="C27" i="11"/>
  <c r="C28" i="11"/>
  <c r="E27" i="11"/>
  <c r="D27" i="11"/>
  <c r="E28" i="11"/>
  <c r="D28" i="11"/>
  <c r="I29" i="1"/>
  <c r="J13" i="1"/>
  <c r="L31" i="1"/>
  <c r="I40" i="1"/>
  <c r="F44" i="1"/>
  <c r="I16" i="1"/>
  <c r="K8" i="1"/>
  <c r="G39" i="1"/>
  <c r="I44" i="1"/>
  <c r="G18" i="1"/>
  <c r="M46" i="1"/>
  <c r="E19" i="1"/>
  <c r="F41" i="1"/>
  <c r="O35" i="1"/>
  <c r="K27" i="1"/>
  <c r="K7" i="1"/>
  <c r="F32" i="1"/>
  <c r="G34" i="1"/>
  <c r="F26" i="1"/>
  <c r="E37" i="1"/>
  <c r="H9" i="1"/>
  <c r="L36" i="1"/>
  <c r="I34" i="1"/>
  <c r="H26" i="1"/>
  <c r="E34" i="1"/>
  <c r="J16" i="1"/>
  <c r="N17" i="1"/>
  <c r="F34" i="1"/>
  <c r="E41" i="1"/>
  <c r="H31" i="1"/>
  <c r="M47" i="1"/>
  <c r="M18" i="1"/>
  <c r="G44" i="1"/>
  <c r="K21" i="1"/>
  <c r="M38" i="1"/>
  <c r="K46" i="1"/>
  <c r="L34" i="1"/>
  <c r="N25" i="1"/>
  <c r="E12" i="1"/>
  <c r="O40" i="1"/>
  <c r="F14" i="1"/>
  <c r="O28" i="1"/>
  <c r="E21" i="1"/>
  <c r="H29" i="1"/>
  <c r="L29" i="1"/>
  <c r="E8" i="1"/>
  <c r="K30" i="1"/>
  <c r="J33" i="1"/>
  <c r="G6" i="1"/>
  <c r="L11" i="1"/>
  <c r="L6" i="1"/>
  <c r="H19" i="1"/>
  <c r="E42" i="1"/>
  <c r="K17" i="1"/>
  <c r="H13" i="1"/>
  <c r="G33" i="1"/>
  <c r="N6" i="1"/>
  <c r="E13" i="1"/>
  <c r="G26" i="1"/>
  <c r="F38" i="1"/>
  <c r="K16" i="1"/>
  <c r="G8" i="1"/>
  <c r="G46" i="1"/>
  <c r="J22" i="1"/>
  <c r="E20" i="1"/>
  <c r="H6" i="1"/>
  <c r="F21" i="1"/>
  <c r="F12" i="1"/>
  <c r="H12" i="1"/>
  <c r="J40" i="1"/>
  <c r="O43" i="1"/>
  <c r="G19" i="1"/>
  <c r="I35" i="1"/>
  <c r="L47" i="1"/>
  <c r="F13" i="1"/>
  <c r="J18" i="1"/>
  <c r="I22" i="1"/>
  <c r="L8" i="1"/>
  <c r="G25" i="1"/>
  <c r="M5" i="1"/>
  <c r="G47" i="1"/>
  <c r="I13" i="1"/>
  <c r="H10" i="1"/>
  <c r="H46" i="1"/>
  <c r="L42" i="1"/>
  <c r="J27" i="1"/>
  <c r="J45" i="1"/>
  <c r="K43" i="1"/>
  <c r="M14" i="1"/>
  <c r="I20" i="1"/>
  <c r="G36" i="1"/>
  <c r="J15" i="1"/>
  <c r="L26" i="1"/>
  <c r="J7" i="1"/>
  <c r="K11" i="1"/>
  <c r="M11" i="1"/>
  <c r="O16" i="1"/>
  <c r="L7" i="1"/>
  <c r="O6" i="1"/>
  <c r="F15" i="1"/>
  <c r="H23" i="1"/>
  <c r="F16" i="1"/>
  <c r="I18" i="1"/>
  <c r="K26" i="1"/>
  <c r="M36" i="1"/>
  <c r="F19" i="1"/>
  <c r="M26" i="1"/>
  <c r="I25" i="1"/>
  <c r="N44" i="1"/>
  <c r="J25" i="1"/>
  <c r="F8" i="1"/>
  <c r="K14" i="1"/>
  <c r="J9" i="1"/>
  <c r="H37" i="1"/>
  <c r="O42" i="1"/>
  <c r="O19" i="1"/>
  <c r="K9" i="1"/>
  <c r="G7" i="1"/>
  <c r="O26" i="1"/>
  <c r="J39" i="1"/>
  <c r="J19" i="1"/>
  <c r="K10" i="1"/>
  <c r="M24" i="1"/>
  <c r="K13" i="1"/>
  <c r="H39" i="1"/>
  <c r="J30" i="1"/>
  <c r="F45" i="1"/>
  <c r="K31" i="1"/>
  <c r="N22" i="1"/>
  <c r="G37" i="1"/>
  <c r="O23" i="1"/>
  <c r="E36" i="1"/>
  <c r="O21" i="1"/>
  <c r="N42" i="1"/>
  <c r="N27" i="1"/>
  <c r="N24" i="1"/>
  <c r="L19" i="1"/>
  <c r="O45" i="1"/>
  <c r="F25" i="1"/>
  <c r="E40" i="1"/>
  <c r="H25" i="1"/>
  <c r="I27" i="1"/>
  <c r="J24" i="1"/>
  <c r="E38" i="1"/>
  <c r="E25" i="1"/>
  <c r="I21" i="1"/>
  <c r="M31" i="1"/>
  <c r="H22" i="1"/>
  <c r="L9" i="1"/>
  <c r="F10" i="1"/>
  <c r="E39" i="1"/>
  <c r="K42" i="1"/>
  <c r="H27" i="1"/>
  <c r="O18" i="1"/>
  <c r="O13" i="1"/>
  <c r="H32" i="1"/>
  <c r="M45" i="1"/>
  <c r="H38" i="1"/>
  <c r="H11" i="1"/>
  <c r="L35" i="1"/>
  <c r="O36" i="1"/>
  <c r="I45" i="1"/>
  <c r="H28" i="1"/>
  <c r="K34" i="1"/>
  <c r="I5" i="1"/>
  <c r="L43" i="1"/>
  <c r="F31" i="1"/>
  <c r="F7" i="1"/>
  <c r="N15" i="1"/>
  <c r="N9" i="1"/>
  <c r="K15" i="1"/>
  <c r="O25" i="1"/>
  <c r="F9" i="1"/>
  <c r="K41" i="1"/>
  <c r="N12" i="1"/>
  <c r="O22" i="1"/>
  <c r="O7" i="1"/>
  <c r="G42" i="1"/>
  <c r="M37" i="1"/>
  <c r="F43" i="1"/>
  <c r="J5" i="1"/>
  <c r="G27" i="1"/>
  <c r="M43" i="1"/>
  <c r="F28" i="1"/>
  <c r="I47" i="1"/>
  <c r="N11" i="1"/>
  <c r="I26" i="1"/>
  <c r="I31" i="1"/>
  <c r="G30" i="1"/>
  <c r="I32" i="1"/>
  <c r="O38" i="1"/>
  <c r="N28" i="1"/>
  <c r="M34" i="1"/>
  <c r="G28" i="1"/>
  <c r="G41" i="1"/>
  <c r="M16" i="1"/>
  <c r="N34" i="1"/>
  <c r="K40" i="1"/>
  <c r="O24" i="1"/>
  <c r="G32" i="1"/>
  <c r="N8" i="1"/>
  <c r="G10" i="1"/>
  <c r="G43" i="1"/>
  <c r="E5" i="1"/>
  <c r="N32" i="1"/>
  <c r="N35" i="1"/>
  <c r="L23" i="1"/>
  <c r="J41" i="1"/>
  <c r="E28" i="1"/>
  <c r="M15" i="1"/>
  <c r="M23" i="1"/>
  <c r="G24" i="1"/>
  <c r="L24" i="1"/>
  <c r="F27" i="1"/>
  <c r="G13" i="1"/>
  <c r="M44" i="1"/>
  <c r="G14" i="1"/>
  <c r="M28" i="1"/>
  <c r="M41" i="1"/>
  <c r="N43" i="1"/>
  <c r="G40" i="1"/>
  <c r="M13" i="1"/>
  <c r="I42" i="1"/>
  <c r="J34" i="1"/>
  <c r="E47" i="1"/>
  <c r="I28" i="1"/>
  <c r="K33" i="1"/>
  <c r="F40" i="1"/>
  <c r="G21" i="1"/>
  <c r="J6" i="1"/>
  <c r="H47" i="1"/>
  <c r="J46" i="1"/>
  <c r="I37" i="1"/>
  <c r="L37" i="1"/>
  <c r="E27" i="1"/>
  <c r="O31" i="1"/>
  <c r="J20" i="1"/>
  <c r="J37" i="1"/>
  <c r="G38" i="1"/>
  <c r="E29" i="1"/>
  <c r="M9" i="1"/>
  <c r="I30" i="1"/>
  <c r="M21" i="1"/>
  <c r="L16" i="1"/>
  <c r="K47" i="1"/>
  <c r="H30" i="1"/>
  <c r="O9" i="1"/>
  <c r="L39" i="1"/>
  <c r="J12" i="1"/>
  <c r="G16" i="1"/>
  <c r="G12" i="1"/>
  <c r="L12" i="1"/>
  <c r="I8" i="1"/>
  <c r="H20" i="1"/>
  <c r="O41" i="1"/>
  <c r="F39" i="1"/>
  <c r="J14" i="1"/>
  <c r="K24" i="1"/>
  <c r="K35" i="1"/>
  <c r="I43" i="1"/>
  <c r="N33" i="1"/>
  <c r="M17" i="1"/>
  <c r="L28" i="1"/>
  <c r="J38" i="1"/>
  <c r="M12" i="1"/>
  <c r="H14" i="1"/>
  <c r="I15" i="1"/>
  <c r="J8" i="1"/>
  <c r="N20" i="1"/>
  <c r="I38" i="1"/>
  <c r="F30" i="1"/>
  <c r="L32" i="1"/>
  <c r="J28" i="1"/>
  <c r="N10" i="1"/>
  <c r="H36" i="1"/>
  <c r="F22" i="1"/>
  <c r="M40" i="1"/>
  <c r="M10" i="1"/>
  <c r="F37" i="1"/>
  <c r="E14" i="1"/>
  <c r="J36" i="1"/>
  <c r="O27" i="1"/>
  <c r="N45" i="1"/>
  <c r="L40" i="1"/>
  <c r="O12" i="1"/>
  <c r="N7" i="1"/>
  <c r="N41" i="1"/>
  <c r="O33" i="1"/>
  <c r="H18" i="1"/>
  <c r="O10" i="1"/>
  <c r="M22" i="1"/>
  <c r="J23" i="1"/>
  <c r="I23" i="1"/>
  <c r="K5" i="1"/>
  <c r="K19" i="1"/>
  <c r="M6" i="1"/>
  <c r="K12" i="1"/>
  <c r="F20" i="1"/>
  <c r="M27" i="1"/>
  <c r="K32" i="1"/>
  <c r="K28" i="1"/>
  <c r="L46" i="1"/>
  <c r="O32" i="1"/>
  <c r="O8" i="1"/>
  <c r="N30" i="1"/>
  <c r="K18" i="1"/>
  <c r="H43" i="1"/>
  <c r="F42" i="1"/>
  <c r="N38" i="1"/>
  <c r="J42" i="1"/>
  <c r="E43" i="1"/>
  <c r="J32" i="1"/>
  <c r="F17" i="1"/>
  <c r="N21" i="1"/>
  <c r="F29" i="1"/>
  <c r="J29" i="1"/>
  <c r="J35" i="1"/>
  <c r="H5" i="1"/>
  <c r="O14" i="1"/>
  <c r="G31" i="1"/>
  <c r="E22" i="1"/>
  <c r="L17" i="1"/>
  <c r="I19" i="1"/>
  <c r="E11" i="1"/>
  <c r="E45" i="1"/>
  <c r="O46" i="1"/>
  <c r="O34" i="1"/>
  <c r="O29" i="1"/>
  <c r="M30" i="1"/>
  <c r="G45" i="1"/>
  <c r="E32" i="1"/>
  <c r="E17" i="1"/>
  <c r="L41" i="1"/>
  <c r="I10" i="1"/>
  <c r="K37" i="1"/>
  <c r="H15" i="1"/>
  <c r="E24" i="1"/>
  <c r="I11" i="1"/>
  <c r="L38" i="1"/>
  <c r="M42" i="1"/>
  <c r="H21" i="1"/>
  <c r="G9" i="1"/>
  <c r="K23" i="1"/>
  <c r="I39" i="1"/>
  <c r="G20" i="1"/>
  <c r="J21" i="1"/>
  <c r="E15" i="1"/>
  <c r="J10" i="1"/>
  <c r="E44" i="1"/>
  <c r="H42" i="1"/>
  <c r="H33" i="1"/>
  <c r="E6" i="1"/>
  <c r="M19" i="1"/>
  <c r="K36" i="1"/>
  <c r="E26" i="1"/>
  <c r="L22" i="1"/>
  <c r="F47" i="1"/>
  <c r="M25" i="1"/>
  <c r="L21" i="1"/>
  <c r="G23" i="1"/>
  <c r="O47" i="1"/>
  <c r="H24" i="1"/>
  <c r="H45" i="1"/>
  <c r="L20" i="1"/>
  <c r="F6" i="1"/>
  <c r="J31" i="1"/>
  <c r="G5" i="1"/>
  <c r="I6" i="1"/>
  <c r="H41" i="1"/>
  <c r="F46" i="1"/>
  <c r="K29" i="1"/>
  <c r="M29" i="1"/>
  <c r="K20" i="1"/>
  <c r="N14" i="1"/>
  <c r="N40" i="1"/>
  <c r="I36" i="1"/>
  <c r="E16" i="1"/>
  <c r="G15" i="1"/>
  <c r="H34" i="1"/>
  <c r="E23" i="1"/>
  <c r="L13" i="1"/>
  <c r="G11" i="1"/>
  <c r="N19" i="1"/>
  <c r="N46" i="1"/>
  <c r="N16" i="1"/>
  <c r="H35" i="1"/>
  <c r="K25" i="1"/>
  <c r="K44" i="1"/>
  <c r="K38" i="1"/>
  <c r="F11" i="1"/>
  <c r="M39" i="1"/>
  <c r="N29" i="1"/>
  <c r="L15" i="1"/>
  <c r="I46" i="1"/>
  <c r="L25" i="1"/>
  <c r="O30" i="1"/>
  <c r="J26" i="1"/>
  <c r="E18" i="1"/>
  <c r="N23" i="1"/>
  <c r="O20" i="1"/>
  <c r="L27" i="1"/>
  <c r="E30" i="1"/>
  <c r="N36" i="1"/>
  <c r="I7" i="1"/>
  <c r="G35" i="1"/>
  <c r="E9" i="1"/>
  <c r="J44" i="1"/>
  <c r="J43" i="1"/>
  <c r="N39" i="1"/>
  <c r="F18" i="1"/>
  <c r="N31" i="1"/>
  <c r="L18" i="1"/>
  <c r="K22" i="1"/>
  <c r="J17" i="1"/>
  <c r="N13" i="1"/>
  <c r="J11" i="1"/>
  <c r="I9" i="1"/>
  <c r="E46" i="1"/>
  <c r="F33" i="1"/>
  <c r="N37" i="1"/>
  <c r="I14" i="1"/>
  <c r="M33" i="1"/>
  <c r="F5" i="1"/>
  <c r="N5" i="1"/>
  <c r="O37" i="1"/>
  <c r="K6" i="1"/>
  <c r="M35" i="1"/>
  <c r="M7" i="1"/>
  <c r="N26" i="1"/>
  <c r="O15" i="1"/>
  <c r="K45" i="1"/>
  <c r="O5" i="1"/>
  <c r="H17" i="1"/>
  <c r="H8" i="1"/>
  <c r="L5" i="1"/>
  <c r="M32" i="1"/>
  <c r="M8" i="1"/>
  <c r="O11" i="1"/>
  <c r="O39" i="1"/>
  <c r="G17" i="1"/>
  <c r="L14" i="1"/>
  <c r="L33" i="1"/>
  <c r="F35" i="1"/>
  <c r="L45" i="1"/>
  <c r="F24" i="1"/>
  <c r="N47" i="1"/>
  <c r="E7" i="1"/>
  <c r="H40" i="1"/>
  <c r="L10" i="1"/>
  <c r="E31" i="1"/>
  <c r="O17" i="1"/>
  <c r="G22" i="1"/>
  <c r="E10" i="1"/>
  <c r="F23" i="1"/>
  <c r="N18" i="1"/>
  <c r="L44" i="1"/>
  <c r="E35" i="1"/>
  <c r="I17" i="1"/>
  <c r="H16" i="1"/>
  <c r="I12" i="1"/>
  <c r="G29" i="1"/>
  <c r="I41" i="1"/>
  <c r="I33" i="1"/>
  <c r="L30" i="1"/>
  <c r="H44" i="1"/>
  <c r="I24" i="1"/>
  <c r="M20" i="1"/>
  <c r="J47" i="1"/>
  <c r="E33" i="1"/>
  <c r="F36" i="1"/>
  <c r="K39" i="1"/>
  <c r="H7" i="1"/>
  <c r="O44" i="1"/>
  <c r="F69" i="7" l="1"/>
  <c r="B3" i="11"/>
  <c r="G38" i="6"/>
  <c r="G46" i="6"/>
  <c r="G31" i="6"/>
  <c r="G35" i="6"/>
  <c r="G39" i="6"/>
  <c r="G43" i="6"/>
  <c r="G47" i="6"/>
  <c r="G32" i="6"/>
  <c r="G36" i="6"/>
  <c r="G40" i="6"/>
  <c r="G44" i="6"/>
  <c r="G34" i="6"/>
  <c r="G42" i="6"/>
  <c r="G33" i="6"/>
  <c r="G37" i="6"/>
  <c r="G41" i="6"/>
  <c r="G45" i="6"/>
  <c r="F65" i="6"/>
  <c r="F69" i="6"/>
  <c r="F73" i="6"/>
  <c r="F66" i="6"/>
  <c r="F70" i="6"/>
  <c r="F68" i="6"/>
  <c r="F67" i="6"/>
  <c r="F71" i="6"/>
  <c r="F64" i="6"/>
  <c r="F72" i="6"/>
  <c r="F96" i="6"/>
  <c r="F89" i="6"/>
  <c r="F93" i="6"/>
  <c r="F97" i="6"/>
  <c r="F90" i="6"/>
  <c r="F94" i="6"/>
  <c r="F98" i="6"/>
  <c r="F91" i="6"/>
  <c r="F95" i="6"/>
  <c r="F92" i="6"/>
  <c r="C40" i="6"/>
  <c r="C33" i="6"/>
  <c r="C37" i="6"/>
  <c r="C41" i="6"/>
  <c r="C45" i="6"/>
  <c r="C34" i="6"/>
  <c r="C38" i="6"/>
  <c r="C42" i="6"/>
  <c r="C46" i="6"/>
  <c r="C32" i="6"/>
  <c r="C36" i="6"/>
  <c r="C44" i="6"/>
  <c r="C31" i="6"/>
  <c r="C35" i="6"/>
  <c r="C39" i="6"/>
  <c r="C43" i="6"/>
  <c r="C47" i="6"/>
  <c r="G118" i="6"/>
  <c r="G122" i="6"/>
  <c r="G115" i="6"/>
  <c r="G119" i="6"/>
  <c r="G123" i="6"/>
  <c r="G117" i="6"/>
  <c r="G116" i="6"/>
  <c r="G120" i="6"/>
  <c r="G124" i="6"/>
  <c r="G121" i="6"/>
  <c r="D12"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<sst xmlns="http://schemas.openxmlformats.org/spreadsheetml/2006/main" count="1262" uniqueCount="691">
  <si>
    <t>IP Address</t>
  </si>
  <si>
    <t>Format</t>
  </si>
  <si>
    <t>Offset</t>
  </si>
  <si>
    <t>192.168.0.13/24</t>
  </si>
  <si>
    <t>fdef:7e67:8d2f::438:f6eb:ea76:7d9f/64</t>
  </si>
  <si>
    <t>ipAddress</t>
  </si>
  <si>
    <t>ipSubAddress</t>
  </si>
  <si>
    <t>0i0.0.0.12</t>
  </si>
  <si>
    <t>Summary</t>
  </si>
  <si>
    <t>192.0.0.0/8</t>
  </si>
  <si>
    <t>ipSubNext</t>
  </si>
  <si>
    <t>ipHostCount</t>
  </si>
  <si>
    <t>ipSubMask</t>
  </si>
  <si>
    <t>N/A</t>
  </si>
  <si>
    <t>ipHostLast</t>
  </si>
  <si>
    <t>ipHostNext</t>
  </si>
  <si>
    <t>ipHostPrev</t>
  </si>
  <si>
    <t>ipHostFirst</t>
  </si>
  <si>
    <t>ipHostY</t>
  </si>
  <si>
    <t>ipHostX</t>
  </si>
  <si>
    <t>0i0.0.0.0</t>
  </si>
  <si>
    <t>2001:db8:3:e000::5/64</t>
  </si>
  <si>
    <t>198.51.100.14/24</t>
  </si>
  <si>
    <t>Returns</t>
  </si>
  <si>
    <t>Output
Format</t>
  </si>
  <si>
    <t>Host #</t>
  </si>
  <si>
    <t>Address</t>
  </si>
  <si>
    <t>Function</t>
  </si>
  <si>
    <t>Examples:</t>
  </si>
  <si>
    <r>
      <rPr>
        <b/>
        <sz val="12"/>
        <color indexed="8"/>
        <rFont val="Calibri"/>
        <family val="2"/>
      </rPr>
      <t>Summary (Optional)</t>
    </r>
    <r>
      <rPr>
        <sz val="12"/>
        <color indexed="8"/>
        <rFont val="Calibri"/>
        <family val="2"/>
      </rPr>
      <t xml:space="preserve"> If present, the function will check that the output (after offset)  is still part of this summary or return an error.</t>
    </r>
  </si>
  <si>
    <r>
      <rPr>
        <b/>
        <sz val="12"/>
        <color indexed="8"/>
        <rFont val="Calibri"/>
        <family val="2"/>
      </rPr>
      <t>Offset (Optional)</t>
    </r>
    <r>
      <rPr>
        <sz val="12"/>
        <color theme="1"/>
        <rFont val="Calibri"/>
        <family val="2"/>
        <scheme val="minor"/>
      </rPr>
      <t xml:space="preserve"> is a decimal, hexadecimal, binary or IP address to add or substract to the host address. Decimal values should be entered as is and are limited to 14 Bytes. Binary values should be preceded by '0b'. IP addresses should be preceded by '0i'. Hex values should be preceded by '0x'. To substract, include a minus sign at the very beginning. Do not include any space.
Examples of valid offset values: 1, -1, 5, -5, 0b1001, -0xff, -0i::5
The functions will return an error if the offset brings the address out of the subnet.</t>
    </r>
  </si>
  <si>
    <r>
      <rPr>
        <b/>
        <sz val="12"/>
        <color theme="1"/>
        <rFont val="Calibri"/>
        <family val="2"/>
        <scheme val="minor"/>
      </rPr>
      <t>OutputFormat (Optional)</t>
    </r>
    <r>
      <rPr>
        <sz val="12"/>
        <color theme="1"/>
        <rFont val="Calibri"/>
        <family val="2"/>
        <scheme val="minor"/>
      </rPr>
      <t xml:space="preserve"> is a 1 to 3 digit number that defines the return format of the function. Default is 1 for host functions and 2 for subnet functions.
</t>
    </r>
    <r>
      <rPr>
        <b/>
        <sz val="12"/>
        <color theme="1"/>
        <rFont val="Calibri"/>
        <family val="2"/>
        <scheme val="minor"/>
      </rPr>
      <t xml:space="preserve">First digit: IP &amp; Mask Format
</t>
    </r>
    <r>
      <rPr>
        <sz val="12"/>
        <color theme="1"/>
        <rFont val="Calibri"/>
        <family val="2"/>
        <scheme val="minor"/>
      </rPr>
      <t xml:space="preserve">1 returns the IP address only, e.g. 192.168.0.1
2 returns the IP address and decimal subnet/prefix length, e.g. 192.168.0.1/24
3 returns the IP address and subnet mask, e.g. 192.168.0.1 255.255.255.0 (ipv4 only)
4 returns the IP address and wildcard mask, e.g. 192.168.0.1 0.0.0.255 (ipv4 only)
5 returns the significant octet(s) of the IP address only, e.g. .x if subnet mask &lt;= 24, .x.y if subnet mask &lt;= 16 (IPv4 only)
6 returns the IP address in binary, e.g. 00001010100001110000001111111100
</t>
    </r>
    <r>
      <rPr>
        <b/>
        <sz val="12"/>
        <color theme="1"/>
        <rFont val="Calibri"/>
        <family val="2"/>
        <scheme val="minor"/>
      </rPr>
      <t xml:space="preserve">Second digit: Padding (Optional) (Useful to sort IP addresses)
</t>
    </r>
    <r>
      <rPr>
        <sz val="12"/>
        <color theme="1"/>
        <rFont val="Calibri"/>
        <family val="2"/>
        <scheme val="minor"/>
      </rPr>
      <t xml:space="preserve">0 returns the IP address unpadded, e.g. 192.168.0.1
1 returns the IP address padded, e.g. 192.168.000.001
</t>
    </r>
    <r>
      <rPr>
        <b/>
        <sz val="12"/>
        <color theme="1"/>
        <rFont val="Calibri"/>
        <family val="2"/>
        <scheme val="minor"/>
      </rPr>
      <t xml:space="preserve">Third digit: Quad-Dotted (Optional) (IPv6 Only)
</t>
    </r>
    <r>
      <rPr>
        <sz val="12"/>
        <color theme="1"/>
        <rFont val="Calibri"/>
        <family val="2"/>
        <scheme val="minor"/>
      </rPr>
      <t>0 returns the IPv6 address in classic form e.g. 2001:db8::c0a8:11
1 returns the IP address in quad-dotted format, e.g. 2001:db8::192.168.0.1</t>
    </r>
  </si>
  <si>
    <r>
      <rPr>
        <b/>
        <sz val="12"/>
        <color theme="1"/>
        <rFont val="Calibri"/>
        <family val="2"/>
        <scheme val="minor"/>
      </rPr>
      <t>Input</t>
    </r>
    <r>
      <rPr>
        <sz val="12"/>
        <color theme="1"/>
        <rFont val="Calibri"/>
        <family val="2"/>
        <scheme val="minor"/>
      </rPr>
      <t xml:space="preserve"> is an IPv4 or IPv6 address and mask (optional) in the form x:x:x:x::/yy (IPv4 &amp; IPv6) or x.x.x.x y.y.y.y (IPv4 Only) where y.y.y.y is a subnet mask or wildcard mask. Full, shortened and quad-dotted IPv6 addresses can be used. If no subnet mask is provided, a /0 is assumed so that ipHostPrev and ipHostNext can be used.</t>
    </r>
  </si>
  <si>
    <t xml:space="preserve">Where:
</t>
  </si>
  <si>
    <t>Press CTRL+SHIFT+A to inserts the argument names and parentheses when the insertion point is to the right of a function name in a formula.</t>
  </si>
  <si>
    <t>Press CTRL + A to display the Function Arguments dialog box when the insertion point is to the right of a function name in a formula, .</t>
  </si>
  <si>
    <r>
      <rPr>
        <sz val="12"/>
        <color theme="9" tint="-0.249977111117893"/>
        <rFont val="Lucida Console"/>
        <family val="3"/>
      </rPr>
      <t>ipFunction</t>
    </r>
    <r>
      <rPr>
        <sz val="12"/>
        <color theme="1"/>
        <rFont val="Calibri"/>
        <family val="2"/>
        <scheme val="minor"/>
      </rPr>
      <t>(</t>
    </r>
    <r>
      <rPr>
        <sz val="12"/>
        <color rgb="FF0000FF"/>
        <rFont val="Lucida Console"/>
        <family val="3"/>
      </rPr>
      <t>Input</t>
    </r>
    <r>
      <rPr>
        <sz val="12"/>
        <color theme="1"/>
        <rFont val="Calibri"/>
        <family val="2"/>
        <scheme val="minor"/>
      </rPr>
      <t xml:space="preserve"> as </t>
    </r>
    <r>
      <rPr>
        <i/>
        <sz val="12"/>
        <color theme="1"/>
        <rFont val="Calibri"/>
        <family val="2"/>
        <scheme val="minor"/>
      </rPr>
      <t>string</t>
    </r>
    <r>
      <rPr>
        <sz val="12"/>
        <color theme="1"/>
        <rFont val="Calibri"/>
        <family val="2"/>
        <scheme val="minor"/>
      </rPr>
      <t>, [</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r>
      <rPr>
        <sz val="12"/>
        <color theme="1"/>
        <rFont val="Calibri"/>
        <family val="2"/>
        <scheme val="minor"/>
      </rPr>
      <t>, [</t>
    </r>
    <r>
      <rPr>
        <sz val="12"/>
        <color rgb="FF0000FF"/>
        <rFont val="Lucida Console"/>
        <family val="3"/>
      </rPr>
      <t>Offset</t>
    </r>
    <r>
      <rPr>
        <sz val="12"/>
        <color theme="1"/>
        <rFont val="Calibri"/>
        <family val="2"/>
        <scheme val="minor"/>
      </rPr>
      <t xml:space="preserve"> as </t>
    </r>
    <r>
      <rPr>
        <i/>
        <sz val="12"/>
        <color theme="1"/>
        <rFont val="Calibri"/>
        <family val="2"/>
        <scheme val="minor"/>
      </rPr>
      <t>Variant</t>
    </r>
    <r>
      <rPr>
        <sz val="12"/>
        <color theme="1"/>
        <rFont val="Calibri"/>
        <family val="2"/>
        <scheme val="minor"/>
      </rPr>
      <t>]</t>
    </r>
    <r>
      <rPr>
        <sz val="12"/>
        <color theme="1"/>
        <rFont val="Calibri"/>
        <family val="2"/>
        <scheme val="minor"/>
      </rPr>
      <t>)</t>
    </r>
  </si>
  <si>
    <t>Most hosts functions share the same list of arguments. Arguments in brackets [] are optional.</t>
  </si>
  <si>
    <t>Arguments:</t>
  </si>
  <si>
    <t>"198.51.100.15/24" returns 254</t>
  </si>
  <si>
    <t>Returns the number of host addresses in the subnet</t>
  </si>
  <si>
    <t>"198.51.100.15/24" returns 198.51.100.254</t>
  </si>
  <si>
    <t>Returns the last available host address of the subnet. In IPv4, this is the address preceding the broadcast address. In IPv6, if the prefix length is &gt;= 120, then the last host address is the one immediately preceding the reserved Subnet Router Anycast, else the last host address is the one immediately preceding the 128 reserved anycast addresses.</t>
  </si>
  <si>
    <t>"198.51.100.15/24" returns 198.51.100.16</t>
  </si>
  <si>
    <t>Returns the immediately following host address in the subnet.</t>
  </si>
  <si>
    <t>"198.51.100.15/24" returns 198.51.100.14</t>
  </si>
  <si>
    <t>Returns the immediately preceding host address in the subnet.</t>
  </si>
  <si>
    <t>"198.51.100.15/24" returns 198.51.100.1</t>
  </si>
  <si>
    <t>Returns the first available host address of the subnet. In IPv4 and IPv6 this is the address immediately following the network address .</t>
  </si>
  <si>
    <t>Returns the host address number Y where 1 is the last host address in the subnet.</t>
  </si>
  <si>
    <t>Returns the host address number X where 1 is the first host address in the subnet.</t>
  </si>
  <si>
    <t>"198.51.100.15/24" returns 198.51.100.15</t>
  </si>
  <si>
    <t>Returns the IP address with no specific checks. Use to reformat the IP address format for example.</t>
  </si>
  <si>
    <t>Example</t>
  </si>
  <si>
    <t>Description</t>
  </si>
  <si>
    <t>All Host functions begin with "ipHost" for identification (with the exception of ipAddress). Their purpose is to manage host addresses (i.e. first address, next address,…).</t>
  </si>
  <si>
    <t>Excel IP Functions: Hosts</t>
  </si>
  <si>
    <t>Excel IP Functions: Subnets</t>
  </si>
  <si>
    <t>Returns the network address.</t>
  </si>
  <si>
    <t>"198.51.100.15/24" returns 198.51.100.0/24</t>
  </si>
  <si>
    <t>Returns the Subnet Mask of the input. OutputFormat determines whether is is the decimal length, quad-dotted or wildcard mask.</t>
  </si>
  <si>
    <t>"198.51.100.15/24" returns 24</t>
  </si>
  <si>
    <t>ipSubBroadcast</t>
  </si>
  <si>
    <t>Returns the subnet broadcast address. IPv4 only since IPv6 has no broadcast address.</t>
  </si>
  <si>
    <t>"198.51.100.15/24" returns 198.51.100.255</t>
  </si>
  <si>
    <t>ipSubPrev</t>
  </si>
  <si>
    <t>Returns the network address of the subnet immediately preceding the input subnet, based on an identical prefix length.</t>
  </si>
  <si>
    <t>"198.51.100.15/24" returns 198.51.99.0/24</t>
  </si>
  <si>
    <t>Returns the network address of the subnet immediately following the input subnet, based on an identical prefix length.</t>
  </si>
  <si>
    <t>"198.51.100.15/24" returns 198.51.101.0/24</t>
  </si>
  <si>
    <t>All hosts and subnets functions share the same list of arguments. Arguments in brackets [] are optional.</t>
  </si>
  <si>
    <r>
      <rPr>
        <sz val="12"/>
        <color theme="9" tint="-0.249977111117893"/>
        <rFont val="Lucida Console"/>
        <family val="3"/>
      </rPr>
      <t>ipFunction</t>
    </r>
    <r>
      <rPr>
        <sz val="12"/>
        <color theme="1"/>
        <rFont val="Calibri"/>
        <family val="2"/>
        <scheme val="minor"/>
      </rPr>
      <t>(</t>
    </r>
    <r>
      <rPr>
        <sz val="12"/>
        <color rgb="FF0000FF"/>
        <rFont val="Lucida Console"/>
        <family val="3"/>
      </rPr>
      <t>Input</t>
    </r>
    <r>
      <rPr>
        <sz val="12"/>
        <color theme="1"/>
        <rFont val="Calibri"/>
        <family val="2"/>
        <scheme val="minor"/>
      </rPr>
      <t xml:space="preserve"> as </t>
    </r>
    <r>
      <rPr>
        <i/>
        <sz val="12"/>
        <color theme="1"/>
        <rFont val="Calibri"/>
        <family val="2"/>
        <scheme val="minor"/>
      </rPr>
      <t>string</t>
    </r>
    <r>
      <rPr>
        <sz val="12"/>
        <color theme="1"/>
        <rFont val="Calibri"/>
        <family val="2"/>
        <scheme val="minor"/>
      </rPr>
      <t>, [</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r>
      <rPr>
        <sz val="12"/>
        <color theme="1"/>
        <rFont val="Calibri"/>
        <family val="2"/>
        <scheme val="minor"/>
      </rPr>
      <t>, [</t>
    </r>
    <r>
      <rPr>
        <sz val="12"/>
        <color rgb="FF0000FF"/>
        <rFont val="Lucida Console"/>
        <family val="3"/>
      </rPr>
      <t>Offset</t>
    </r>
    <r>
      <rPr>
        <sz val="12"/>
        <color theme="1"/>
        <rFont val="Calibri"/>
        <family val="2"/>
        <scheme val="minor"/>
      </rPr>
      <t xml:space="preserve"> as </t>
    </r>
    <r>
      <rPr>
        <i/>
        <sz val="12"/>
        <color theme="1"/>
        <rFont val="Calibri"/>
        <family val="2"/>
        <scheme val="minor"/>
      </rPr>
      <t>Variant</t>
    </r>
    <r>
      <rPr>
        <sz val="12"/>
        <color theme="1"/>
        <rFont val="Calibri"/>
        <family val="2"/>
        <scheme val="minor"/>
      </rPr>
      <t>]</t>
    </r>
    <r>
      <rPr>
        <sz val="12"/>
        <color theme="1"/>
        <rFont val="Calibri"/>
        <family val="2"/>
        <scheme val="minor"/>
      </rPr>
      <t>, [</t>
    </r>
    <r>
      <rPr>
        <sz val="12"/>
        <color rgb="FF0000FF"/>
        <rFont val="Lucida Console"/>
        <family val="3"/>
      </rPr>
      <t>Summary</t>
    </r>
    <r>
      <rPr>
        <sz val="12"/>
        <color theme="1"/>
        <rFont val="Calibri"/>
        <family val="2"/>
        <scheme val="minor"/>
      </rPr>
      <t xml:space="preserve"> as </t>
    </r>
    <r>
      <rPr>
        <i/>
        <sz val="12"/>
        <color theme="1"/>
        <rFont val="Calibri"/>
        <family val="2"/>
        <scheme val="minor"/>
      </rPr>
      <t>String</t>
    </r>
    <r>
      <rPr>
        <sz val="12"/>
        <color theme="1"/>
        <rFont val="Calibri"/>
        <family val="2"/>
        <scheme val="minor"/>
      </rPr>
      <t>])</t>
    </r>
  </si>
  <si>
    <t>tip: press ctrl + shift + A to insert the argument names and parentheses when the insertion point is to the right of a function name in a formula.</t>
  </si>
  <si>
    <r>
      <rPr>
        <b/>
        <sz val="12"/>
        <color indexed="8"/>
        <rFont val="Calibri"/>
        <family val="2"/>
      </rPr>
      <t>Input</t>
    </r>
    <r>
      <rPr>
        <sz val="12"/>
        <color theme="1"/>
        <rFont val="Calibri"/>
        <family val="2"/>
        <scheme val="minor"/>
      </rPr>
      <t xml:space="preserve"> is an IPv4 or IPv6 address and mask (optional) in the form x:x:x:x::/yy (IPv4 &amp; IPv6) or x.x.x.x y.y.y.y (IPv4 Only) where y.y.y.y is a subnet mask or wildcard mask. Full, shortened and quad-dotted IPv6 addresses can be used. If no subnet mask is provided, a /0 is assumed so that ipPrevHost and ipNextHost can be used.</t>
    </r>
  </si>
  <si>
    <r>
      <rPr>
        <b/>
        <sz val="12"/>
        <color indexed="8"/>
        <rFont val="Calibri"/>
        <family val="2"/>
      </rPr>
      <t>Offset (Optional)</t>
    </r>
    <r>
      <rPr>
        <sz val="12"/>
        <color theme="1"/>
        <rFont val="Calibri"/>
        <family val="2"/>
        <scheme val="minor"/>
      </rPr>
      <t xml:space="preserve"> is an IP address to add or substract. IP addresses should be preceded by '0i'. To substract, include a minus sign at the very beginning. Do not include any space.
Examples of valid offset values: 0i0.0.10.0, -0i::5</t>
    </r>
  </si>
  <si>
    <t>198.51.100.15/28</t>
  </si>
  <si>
    <t>2001:db8:3:e000::1/64</t>
  </si>
  <si>
    <t>https://groups.google.com/forum/#!forum/xlsipf</t>
  </si>
  <si>
    <t>Excel IP Functions is a suite of advanced Microsoft Excel User Defined Functions (UDF) to manipulate IPv4 and IPv6 addresses.</t>
  </si>
  <si>
    <t>Developped by Nicolas Grison (contact at xlsipf@njg.me).</t>
  </si>
  <si>
    <r>
      <t>Compatibility:</t>
    </r>
    <r>
      <rPr>
        <sz val="12"/>
        <color theme="1"/>
        <rFont val="Calibri"/>
        <family val="2"/>
        <scheme val="minor"/>
      </rPr>
      <t xml:space="preserve"> </t>
    </r>
  </si>
  <si>
    <t>6 Categories of IP functions are available and detailed in the following spreadsheets:</t>
  </si>
  <si>
    <r>
      <rPr>
        <b/>
        <sz val="12"/>
        <color theme="1"/>
        <rFont val="Calibri"/>
        <family val="2"/>
        <scheme val="minor"/>
      </rPr>
      <t>Host functions</t>
    </r>
    <r>
      <rPr>
        <sz val="12"/>
        <color theme="1"/>
        <rFont val="Calibri"/>
        <family val="2"/>
        <scheme val="minor"/>
      </rPr>
      <t xml:space="preserve"> </t>
    </r>
  </si>
  <si>
    <t>They are used to modify and find host addresses within a subnet. You can use them to find the first address, the previous address, the next address and so on while making sure you don't leave the subnet boundaries.</t>
  </si>
  <si>
    <r>
      <rPr>
        <b/>
        <sz val="12"/>
        <color theme="1"/>
        <rFont val="Calibri"/>
        <family val="2"/>
        <scheme val="minor"/>
      </rPr>
      <t>Subnet functions</t>
    </r>
    <r>
      <rPr>
        <sz val="12"/>
        <color theme="1"/>
        <rFont val="Calibri"/>
        <family val="2"/>
        <scheme val="minor"/>
      </rPr>
      <t xml:space="preserve"> </t>
    </r>
  </si>
  <si>
    <t>They are used to modify subnets. Find the following subnet address or the previous one.</t>
  </si>
  <si>
    <r>
      <rPr>
        <b/>
        <sz val="12"/>
        <color theme="1"/>
        <rFont val="Calibri"/>
        <family val="2"/>
        <scheme val="minor"/>
      </rPr>
      <t>Summary functions</t>
    </r>
    <r>
      <rPr>
        <sz val="12"/>
        <color theme="1"/>
        <rFont val="Calibri"/>
        <family val="2"/>
        <scheme val="minor"/>
      </rPr>
      <t xml:space="preserve"> </t>
    </r>
  </si>
  <si>
    <t>They are used to find subnets within a larger "summary" address space.</t>
  </si>
  <si>
    <t>Array functions</t>
  </si>
  <si>
    <t>They are a specific type of Excel functions that will return in one go all host addresses in a subnet or all subnet addresses in a summary. Please learn to use Excel Array Functions before trying to use those functions.</t>
  </si>
  <si>
    <t>Other functions</t>
  </si>
  <si>
    <t>Macros</t>
  </si>
  <si>
    <t>Macros are used to work on a list of IP addresses in place.</t>
  </si>
  <si>
    <t>Installation</t>
  </si>
  <si>
    <t>To use IP Functions in your spreadsheet, follow these instructions:</t>
  </si>
  <si>
    <t>Enable Developper mode in Excel</t>
  </si>
  <si>
    <t>Copy the "IPFunctions" VBA module in this workbook into your workbook.</t>
  </si>
  <si>
    <t>Please check how to do those two steps on your specific version of Excel</t>
  </si>
  <si>
    <t>Version history</t>
  </si>
  <si>
    <t>See comments at the beginning of the IP Function module for version history</t>
  </si>
  <si>
    <t>Excel IP Functions: Summaries</t>
  </si>
  <si>
    <t>ipSumFirstSub</t>
  </si>
  <si>
    <t>Returns the first subnet of a summary.</t>
  </si>
  <si>
    <t>"198.51.100.15/22",24 returns 198.51.101.0/24</t>
  </si>
  <si>
    <t>ipSumSubX</t>
  </si>
  <si>
    <t>Returns subnet number X in a summary where 1 is the first subnet.</t>
  </si>
  <si>
    <t>"198.51.100.15/22",24,2 returns 198.51.102.0/24</t>
  </si>
  <si>
    <t>ipSumSubY</t>
  </si>
  <si>
    <t>Returns subnet number Y in a summary where 1 is the last subnet.</t>
  </si>
  <si>
    <t>ipSumLastSub</t>
  </si>
  <si>
    <t>Returns the last subnet of a summary.</t>
  </si>
  <si>
    <t>"198.51.100.15/22",24 returns 198.51.111.0/24</t>
  </si>
  <si>
    <t>ipSumCheck</t>
  </si>
  <si>
    <t>Checks if an IP address or subnet is included in a larger subnet</t>
  </si>
  <si>
    <t>"192.168.0.0/24","192.168.0.0/22" returns TRUE</t>
  </si>
  <si>
    <t>ipSumSubCount</t>
  </si>
  <si>
    <t>Returns the number of subnets in a summary</t>
  </si>
  <si>
    <t>"198.51.100.15/22",24 returns 4</t>
  </si>
  <si>
    <t>ipSumFirstSub
ipSumLastSub
Arguments:</t>
  </si>
  <si>
    <t>Arguments in brackets [] are optional.</t>
  </si>
  <si>
    <r>
      <rPr>
        <sz val="12"/>
        <color theme="9" tint="-0.249977111117893"/>
        <rFont val="Lucida Console"/>
        <family val="3"/>
      </rPr>
      <t>ipFunction</t>
    </r>
    <r>
      <rPr>
        <sz val="12"/>
        <color theme="1"/>
        <rFont val="Lucida Console"/>
        <family val="3"/>
      </rPr>
      <t>(</t>
    </r>
    <r>
      <rPr>
        <sz val="12"/>
        <color rgb="FF0000FF"/>
        <rFont val="Lucida Console"/>
        <family val="3"/>
      </rPr>
      <t>Input</t>
    </r>
    <r>
      <rPr>
        <sz val="12"/>
        <color theme="1"/>
        <rFont val="Lucida Console"/>
        <family val="3"/>
      </rPr>
      <t xml:space="preserve"> as </t>
    </r>
    <r>
      <rPr>
        <i/>
        <sz val="12"/>
        <color theme="1"/>
        <rFont val="Lucida Console"/>
        <family val="3"/>
      </rPr>
      <t>string</t>
    </r>
    <r>
      <rPr>
        <sz val="12"/>
        <color theme="1"/>
        <rFont val="Lucida Console"/>
        <family val="3"/>
      </rPr>
      <t xml:space="preserve">, </t>
    </r>
    <r>
      <rPr>
        <sz val="12"/>
        <color rgb="FF0000FF"/>
        <rFont val="Lucida Console"/>
        <family val="3"/>
      </rPr>
      <t>PrefixLength</t>
    </r>
    <r>
      <rPr>
        <sz val="12"/>
        <color theme="1"/>
        <rFont val="Lucida Console"/>
        <family val="3"/>
      </rPr>
      <t xml:space="preserve"> as </t>
    </r>
    <r>
      <rPr>
        <i/>
        <sz val="12"/>
        <color theme="1"/>
        <rFont val="Lucida Console"/>
        <family val="3"/>
      </rPr>
      <t>Long,</t>
    </r>
    <r>
      <rPr>
        <sz val="12"/>
        <color theme="1"/>
        <rFont val="Lucida Console"/>
        <family val="3"/>
      </rPr>
      <t xml:space="preserve"> [</t>
    </r>
    <r>
      <rPr>
        <sz val="12"/>
        <color rgb="FF0000FF"/>
        <rFont val="Lucida Console"/>
        <family val="3"/>
      </rPr>
      <t>OutputFormat</t>
    </r>
    <r>
      <rPr>
        <sz val="12"/>
        <color theme="1"/>
        <rFont val="Lucida Console"/>
        <family val="3"/>
      </rPr>
      <t xml:space="preserve"> as </t>
    </r>
    <r>
      <rPr>
        <i/>
        <sz val="12"/>
        <color theme="1"/>
        <rFont val="Lucida Console"/>
        <family val="3"/>
      </rPr>
      <t>Long</t>
    </r>
    <r>
      <rPr>
        <sz val="12"/>
        <color theme="1"/>
        <rFont val="Lucida Console"/>
        <family val="3"/>
      </rPr>
      <t>], [</t>
    </r>
    <r>
      <rPr>
        <sz val="12"/>
        <color rgb="FF0000FF"/>
        <rFont val="Lucida Console"/>
        <family val="3"/>
      </rPr>
      <t>Offset</t>
    </r>
    <r>
      <rPr>
        <sz val="12"/>
        <color theme="1"/>
        <rFont val="Lucida Console"/>
        <family val="3"/>
      </rPr>
      <t xml:space="preserve"> as </t>
    </r>
    <r>
      <rPr>
        <i/>
        <sz val="12"/>
        <color theme="1"/>
        <rFont val="Lucida Console"/>
        <family val="3"/>
      </rPr>
      <t>Variant</t>
    </r>
    <r>
      <rPr>
        <sz val="12"/>
        <color theme="1"/>
        <rFont val="Lucida Console"/>
        <family val="3"/>
      </rPr>
      <t>])</t>
    </r>
  </si>
  <si>
    <t>Where:</t>
  </si>
  <si>
    <r>
      <rPr>
        <b/>
        <sz val="12"/>
        <color indexed="8"/>
        <rFont val="Calibri"/>
        <family val="2"/>
      </rPr>
      <t>Input</t>
    </r>
    <r>
      <rPr>
        <sz val="12"/>
        <color theme="1"/>
        <rFont val="Calibri"/>
        <family val="2"/>
        <scheme val="minor"/>
      </rPr>
      <t xml:space="preserve"> is an IPv4 or IPv6 </t>
    </r>
    <r>
      <rPr>
        <b/>
        <i/>
        <sz val="12"/>
        <color theme="1"/>
        <rFont val="Calibri"/>
        <family val="2"/>
        <scheme val="minor"/>
      </rPr>
      <t>summary</t>
    </r>
    <r>
      <rPr>
        <sz val="12"/>
        <color theme="1"/>
        <rFont val="Calibri"/>
        <family val="2"/>
        <scheme val="minor"/>
      </rPr>
      <t xml:space="preserve"> address and mask.</t>
    </r>
  </si>
  <si>
    <r>
      <rPr>
        <b/>
        <sz val="12"/>
        <color theme="1"/>
        <rFont val="Calibri"/>
        <family val="2"/>
        <scheme val="minor"/>
      </rPr>
      <t xml:space="preserve">PrefixLength </t>
    </r>
    <r>
      <rPr>
        <sz val="12"/>
        <color theme="1"/>
        <rFont val="Calibri"/>
        <family val="2"/>
        <scheme val="minor"/>
      </rPr>
      <t>is the smaller prefix subnets desired, in decimal.</t>
    </r>
  </si>
  <si>
    <r>
      <t>OutputFormat (Optional)</t>
    </r>
    <r>
      <rPr>
        <sz val="12"/>
        <color theme="1"/>
        <rFont val="Calibri"/>
        <family val="2"/>
        <scheme val="minor"/>
      </rPr>
      <t>, see "IP Function" Sheet.</t>
    </r>
  </si>
  <si>
    <r>
      <t>Offset (Optional)</t>
    </r>
    <r>
      <rPr>
        <sz val="12"/>
        <color indexed="8"/>
        <rFont val="Calibri"/>
        <family val="2"/>
      </rPr>
      <t>, See "IP Functions" Sheet.</t>
    </r>
  </si>
  <si>
    <t>ipSumSubX
Arguments:</t>
  </si>
  <si>
    <t>Most functions share the same list of arguments with the exception of ipSubNumber. See below for ipSubNumber syntax. Arguments in brackets [] are optional.</t>
  </si>
  <si>
    <r>
      <rPr>
        <sz val="12"/>
        <color theme="9" tint="-0.249977111117893"/>
        <rFont val="Lucida Console"/>
        <family val="3"/>
      </rPr>
      <t>ipSumSubX</t>
    </r>
    <r>
      <rPr>
        <sz val="12"/>
        <color theme="1"/>
        <rFont val="Lucida Console"/>
        <family val="3"/>
      </rPr>
      <t>(</t>
    </r>
    <r>
      <rPr>
        <sz val="12"/>
        <color rgb="FF0000FF"/>
        <rFont val="Lucida Console"/>
        <family val="3"/>
      </rPr>
      <t>Input</t>
    </r>
    <r>
      <rPr>
        <sz val="12"/>
        <color theme="1"/>
        <rFont val="Lucida Console"/>
        <family val="3"/>
      </rPr>
      <t xml:space="preserve"> as </t>
    </r>
    <r>
      <rPr>
        <i/>
        <sz val="12"/>
        <color theme="1"/>
        <rFont val="Lucida Console"/>
        <family val="3"/>
      </rPr>
      <t>string</t>
    </r>
    <r>
      <rPr>
        <sz val="12"/>
        <color theme="1"/>
        <rFont val="Lucida Console"/>
        <family val="3"/>
      </rPr>
      <t xml:space="preserve">, </t>
    </r>
    <r>
      <rPr>
        <sz val="12"/>
        <color rgb="FF0000FF"/>
        <rFont val="Lucida Console"/>
        <family val="3"/>
      </rPr>
      <t>PrefixLength</t>
    </r>
    <r>
      <rPr>
        <sz val="12"/>
        <color theme="1"/>
        <rFont val="Lucida Console"/>
        <family val="3"/>
      </rPr>
      <t xml:space="preserve"> as </t>
    </r>
    <r>
      <rPr>
        <i/>
        <sz val="12"/>
        <color theme="1"/>
        <rFont val="Lucida Console"/>
        <family val="3"/>
      </rPr>
      <t>Dec</t>
    </r>
    <r>
      <rPr>
        <sz val="12"/>
        <color theme="1"/>
        <rFont val="Lucida Console"/>
        <family val="3"/>
      </rPr>
      <t xml:space="preserve">, </t>
    </r>
    <r>
      <rPr>
        <sz val="12"/>
        <color rgb="FF0000FF"/>
        <rFont val="Lucida Console"/>
        <family val="3"/>
      </rPr>
      <t>SubnetNumber</t>
    </r>
    <r>
      <rPr>
        <sz val="12"/>
        <color theme="1"/>
        <rFont val="Lucida Console"/>
        <family val="3"/>
      </rPr>
      <t xml:space="preserve"> as </t>
    </r>
    <r>
      <rPr>
        <i/>
        <sz val="12"/>
        <color theme="1"/>
        <rFont val="Lucida Console"/>
        <family val="3"/>
      </rPr>
      <t>Variant</t>
    </r>
    <r>
      <rPr>
        <sz val="12"/>
        <color theme="1"/>
        <rFont val="Lucida Console"/>
        <family val="3"/>
      </rPr>
      <t>,  [</t>
    </r>
    <r>
      <rPr>
        <sz val="12"/>
        <color rgb="FF0000FF"/>
        <rFont val="Lucida Console"/>
        <family val="3"/>
      </rPr>
      <t>OutputFormat</t>
    </r>
    <r>
      <rPr>
        <sz val="12"/>
        <color theme="1"/>
        <rFont val="Lucida Console"/>
        <family val="3"/>
      </rPr>
      <t xml:space="preserve"> as </t>
    </r>
    <r>
      <rPr>
        <i/>
        <sz val="12"/>
        <color theme="1"/>
        <rFont val="Lucida Console"/>
        <family val="3"/>
      </rPr>
      <t>Long</t>
    </r>
    <r>
      <rPr>
        <sz val="12"/>
        <color theme="1"/>
        <rFont val="Lucida Console"/>
        <family val="3"/>
      </rPr>
      <t xml:space="preserve">], </t>
    </r>
    <r>
      <rPr>
        <sz val="12"/>
        <color rgb="FF0000FF"/>
        <rFont val="Lucida Console"/>
        <family val="3"/>
      </rPr>
      <t>[Offset</t>
    </r>
    <r>
      <rPr>
        <sz val="12"/>
        <color theme="1"/>
        <rFont val="Lucida Console"/>
        <family val="3"/>
      </rPr>
      <t xml:space="preserve"> as </t>
    </r>
    <r>
      <rPr>
        <i/>
        <sz val="12"/>
        <color theme="1"/>
        <rFont val="Lucida Console"/>
        <family val="3"/>
      </rPr>
      <t>Variant</t>
    </r>
    <r>
      <rPr>
        <sz val="12"/>
        <color theme="1"/>
        <rFont val="Lucida Console"/>
        <family val="3"/>
      </rPr>
      <t>])</t>
    </r>
  </si>
  <si>
    <r>
      <rPr>
        <b/>
        <sz val="12"/>
        <color indexed="8"/>
        <rFont val="Calibri"/>
        <family val="2"/>
      </rPr>
      <t xml:space="preserve">SubnetNumber </t>
    </r>
    <r>
      <rPr>
        <sz val="12"/>
        <color theme="1"/>
        <rFont val="Calibri"/>
        <family val="2"/>
        <scheme val="minor"/>
      </rPr>
      <t>is a decimal, hexadecimal, binary or IP address that reference the number of the desired subnet and can have the same format as "Offset" above.</t>
    </r>
  </si>
  <si>
    <r>
      <rPr>
        <b/>
        <sz val="12"/>
        <color theme="1"/>
        <rFont val="Calibri"/>
        <family val="2"/>
        <scheme val="minor"/>
      </rPr>
      <t>OutputFormat (Optional)</t>
    </r>
    <r>
      <rPr>
        <sz val="12"/>
        <color theme="1"/>
        <rFont val="Calibri"/>
        <family val="2"/>
        <scheme val="minor"/>
      </rPr>
      <t xml:space="preserve"> See above.</t>
    </r>
  </si>
  <si>
    <t>ipSumCheck
Arguments:</t>
  </si>
  <si>
    <r>
      <rPr>
        <sz val="12"/>
        <color theme="9" tint="-0.249977111117893"/>
        <rFont val="Lucida Console"/>
        <family val="3"/>
      </rPr>
      <t>ipSumCheck</t>
    </r>
    <r>
      <rPr>
        <sz val="12"/>
        <color theme="1"/>
        <rFont val="Lucida Console"/>
        <family val="3"/>
      </rPr>
      <t>(</t>
    </r>
    <r>
      <rPr>
        <sz val="12"/>
        <color rgb="FF0000FF"/>
        <rFont val="Lucida Console"/>
        <family val="3"/>
      </rPr>
      <t>Input</t>
    </r>
    <r>
      <rPr>
        <sz val="12"/>
        <color theme="1"/>
        <rFont val="Lucida Console"/>
        <family val="3"/>
      </rPr>
      <t xml:space="preserve"> as </t>
    </r>
    <r>
      <rPr>
        <i/>
        <sz val="12"/>
        <color theme="1"/>
        <rFont val="Lucida Console"/>
        <family val="3"/>
      </rPr>
      <t>string</t>
    </r>
    <r>
      <rPr>
        <sz val="12"/>
        <color theme="1"/>
        <rFont val="Lucida Console"/>
        <family val="3"/>
      </rPr>
      <t xml:space="preserve">, </t>
    </r>
    <r>
      <rPr>
        <sz val="12"/>
        <color rgb="FF0000FF"/>
        <rFont val="Lucida Console"/>
        <family val="3"/>
      </rPr>
      <t>Summary</t>
    </r>
    <r>
      <rPr>
        <sz val="12"/>
        <color theme="1"/>
        <rFont val="Lucida Console"/>
        <family val="3"/>
      </rPr>
      <t xml:space="preserve"> as </t>
    </r>
    <r>
      <rPr>
        <i/>
        <sz val="12"/>
        <color theme="1"/>
        <rFont val="Lucida Console"/>
        <family val="3"/>
      </rPr>
      <t>Range</t>
    </r>
    <r>
      <rPr>
        <sz val="12"/>
        <color theme="1"/>
        <rFont val="Lucida Console"/>
        <family val="3"/>
      </rPr>
      <t xml:space="preserve"> or </t>
    </r>
    <r>
      <rPr>
        <i/>
        <sz val="12"/>
        <color theme="1"/>
        <rFont val="Lucida Console"/>
        <family val="3"/>
      </rPr>
      <t>String</t>
    </r>
    <r>
      <rPr>
        <sz val="12"/>
        <color theme="1"/>
        <rFont val="Lucida Console"/>
        <family val="3"/>
      </rPr>
      <t>)</t>
    </r>
  </si>
  <si>
    <r>
      <rPr>
        <b/>
        <sz val="12"/>
        <color indexed="8"/>
        <rFont val="Calibri"/>
        <family val="2"/>
      </rPr>
      <t>Input</t>
    </r>
    <r>
      <rPr>
        <sz val="12"/>
        <color indexed="8"/>
        <rFont val="Calibri"/>
        <family val="2"/>
      </rPr>
      <t xml:space="preserve"> is</t>
    </r>
    <r>
      <rPr>
        <sz val="12"/>
        <color theme="1"/>
        <rFont val="Calibri"/>
        <family val="2"/>
        <scheme val="minor"/>
      </rPr>
      <t xml:space="preserve"> an IPv4 or IPv6 address and optional mask in the form x:x:x:x::/yy (IPv4 &amp; IPv6), x.x.x.x y.y.y.y (IPv4 Only) where y.y.y.y is a subnet mask or wildcard mask. Full, shortened and quad-dotted IPv6 address format can be used.</t>
    </r>
  </si>
  <si>
    <r>
      <rPr>
        <b/>
        <sz val="12"/>
        <color indexed="8"/>
        <rFont val="Calibri"/>
        <family val="2"/>
      </rPr>
      <t>Summary</t>
    </r>
    <r>
      <rPr>
        <sz val="12"/>
        <color indexed="8"/>
        <rFont val="Calibri"/>
        <family val="2"/>
      </rPr>
      <t xml:space="preserve"> is</t>
    </r>
    <r>
      <rPr>
        <sz val="12"/>
        <color theme="1"/>
        <rFont val="Calibri"/>
        <family val="2"/>
        <scheme val="minor"/>
      </rPr>
      <t xml:space="preserve"> a string or contiguous range of cells containing IPv4 or IPv6 address and mask in the form x:x:x:x::/yy (IPv4 &amp; IPv6), x.x.x.x y.y.y.y (IPv4 Only) where y.y.y.y is a subnet mask or wildcard mask. Full, shortened and quad-dotted IPv6 address format can be used.</t>
    </r>
  </si>
  <si>
    <t>ipSumSubCount
Arguments:</t>
  </si>
  <si>
    <r>
      <rPr>
        <sz val="12"/>
        <color theme="9" tint="-0.249977111117893"/>
        <rFont val="Lucida Console"/>
        <family val="3"/>
      </rPr>
      <t>ipSumSubCount</t>
    </r>
    <r>
      <rPr>
        <sz val="12"/>
        <color theme="1"/>
        <rFont val="Lucida Console"/>
        <family val="3"/>
      </rPr>
      <t>(</t>
    </r>
    <r>
      <rPr>
        <sz val="12"/>
        <color rgb="FF0000FF"/>
        <rFont val="Lucida Console"/>
        <family val="3"/>
      </rPr>
      <t>Input</t>
    </r>
    <r>
      <rPr>
        <sz val="12"/>
        <color theme="1"/>
        <rFont val="Lucida Console"/>
        <family val="3"/>
      </rPr>
      <t xml:space="preserve"> as </t>
    </r>
    <r>
      <rPr>
        <i/>
        <sz val="12"/>
        <color theme="1"/>
        <rFont val="Lucida Console"/>
        <family val="3"/>
      </rPr>
      <t>string</t>
    </r>
    <r>
      <rPr>
        <sz val="12"/>
        <color theme="1"/>
        <rFont val="Lucida Console"/>
        <family val="3"/>
      </rPr>
      <t xml:space="preserve">, </t>
    </r>
    <r>
      <rPr>
        <sz val="12"/>
        <color rgb="FF0000FF"/>
        <rFont val="Lucida Console"/>
        <family val="3"/>
      </rPr>
      <t>PrefixLength</t>
    </r>
    <r>
      <rPr>
        <sz val="12"/>
        <color theme="1"/>
        <rFont val="Lucida Console"/>
        <family val="3"/>
      </rPr>
      <t xml:space="preserve"> as </t>
    </r>
    <r>
      <rPr>
        <i/>
        <sz val="12"/>
        <color theme="1"/>
        <rFont val="Lucida Console"/>
        <family val="3"/>
      </rPr>
      <t>Dec</t>
    </r>
    <r>
      <rPr>
        <sz val="12"/>
        <color theme="1"/>
        <rFont val="Lucida Console"/>
        <family val="3"/>
      </rPr>
      <t>)</t>
    </r>
  </si>
  <si>
    <r>
      <rPr>
        <b/>
        <sz val="12"/>
        <color indexed="8"/>
        <rFont val="Calibri"/>
        <family val="2"/>
      </rPr>
      <t>Input</t>
    </r>
    <r>
      <rPr>
        <sz val="12"/>
        <color theme="1"/>
        <rFont val="Calibri"/>
        <family val="2"/>
        <scheme val="minor"/>
      </rPr>
      <t xml:space="preserve"> is an IPv4 or IPv6 </t>
    </r>
    <r>
      <rPr>
        <b/>
        <i/>
        <sz val="12"/>
        <color theme="1"/>
        <rFont val="Calibri"/>
        <family val="2"/>
        <scheme val="minor"/>
      </rPr>
      <t>summary</t>
    </r>
    <r>
      <rPr>
        <sz val="12"/>
        <color theme="1"/>
        <rFont val="Calibri"/>
        <family val="2"/>
        <scheme val="minor"/>
      </rPr>
      <t xml:space="preserve"> address.</t>
    </r>
  </si>
  <si>
    <t>Summary Address</t>
  </si>
  <si>
    <t>Prefix Length</t>
  </si>
  <si>
    <t>Subnet Number</t>
  </si>
  <si>
    <t>198.51.100.15/22</t>
  </si>
  <si>
    <t>2</t>
  </si>
  <si>
    <t>2001:438:3:e000::1/10</t>
  </si>
  <si>
    <t>Subnet</t>
  </si>
  <si>
    <t>192.168.0.0/22</t>
  </si>
  <si>
    <t>192.168.4.0/22</t>
  </si>
  <si>
    <t>192.168.8.0/22</t>
  </si>
  <si>
    <t>192.168.7.0/24</t>
  </si>
  <si>
    <t>Excel IP Functions v4.00</t>
  </si>
  <si>
    <t>1</t>
  </si>
  <si>
    <t>Excel IP Functions: Array Functions</t>
  </si>
  <si>
    <t>The UDF on this pages are Array formulas. They return multiple values over multiple cells. Please read carefully about Array functions before using them.</t>
  </si>
  <si>
    <t>Select all cells before entering the function and validate by pressing ctrl-shift-return. Array formulas are shown surrounded by braces { } in the formula bar.</t>
  </si>
  <si>
    <t>Select the entire array before editing or deleting the formula. You can select the entire array by pressing "ctrl - /".</t>
  </si>
  <si>
    <t>You must ensure that the destination array is big enough for the output as no error message will be displayed if the array is too small.</t>
  </si>
  <si>
    <t>Read about array formulas and how to use them at http://tiny.cc/xnujlx for more information.</t>
  </si>
  <si>
    <t>ipSubnets</t>
  </si>
  <si>
    <t>Returns a list of subnets of PrefixLength size included in the summary e.g. 198.51.100.15/24,26 returns the 4 /26 subnets</t>
  </si>
  <si>
    <t>ipHosts</t>
  </si>
  <si>
    <t>Returns a list of host addresses in a given subnet e.g. 198.51.100.15/30,26 returns the 198.51.100.15 and 198.51.100.16</t>
  </si>
  <si>
    <r>
      <rPr>
        <sz val="12"/>
        <color theme="9" tint="-0.249977111117893"/>
        <rFont val="Lucida Console"/>
        <family val="3"/>
      </rPr>
      <t>ipSubnets</t>
    </r>
    <r>
      <rPr>
        <sz val="12"/>
        <color theme="1"/>
        <rFont val="Calibri"/>
        <family val="2"/>
        <scheme val="minor"/>
      </rPr>
      <t>(</t>
    </r>
    <r>
      <rPr>
        <sz val="12"/>
        <color rgb="FF0000FF"/>
        <rFont val="Lucida Console"/>
        <family val="3"/>
      </rPr>
      <t>Summary</t>
    </r>
    <r>
      <rPr>
        <sz val="12"/>
        <color theme="1"/>
        <rFont val="Calibri"/>
        <family val="2"/>
        <scheme val="minor"/>
      </rPr>
      <t xml:space="preserve"> as </t>
    </r>
    <r>
      <rPr>
        <i/>
        <sz val="12"/>
        <rFont val="Calibri"/>
        <family val="2"/>
        <scheme val="minor"/>
      </rPr>
      <t>string</t>
    </r>
    <r>
      <rPr>
        <sz val="12"/>
        <rFont val="Calibri"/>
        <family val="2"/>
        <scheme val="minor"/>
      </rPr>
      <t xml:space="preserve">, </t>
    </r>
    <r>
      <rPr>
        <sz val="12"/>
        <color rgb="FF0000FF"/>
        <rFont val="Lucida Console"/>
        <family val="3"/>
      </rPr>
      <t>PrefixLength</t>
    </r>
    <r>
      <rPr>
        <sz val="12"/>
        <color theme="1"/>
        <rFont val="Calibri"/>
        <family val="2"/>
        <scheme val="minor"/>
      </rPr>
      <t xml:space="preserve"> as Long, [</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</si>
  <si>
    <r>
      <rPr>
        <sz val="12"/>
        <color theme="9" tint="-0.249977111117893"/>
        <rFont val="Lucida Console"/>
        <family val="3"/>
      </rPr>
      <t>ipHosts</t>
    </r>
    <r>
      <rPr>
        <sz val="12"/>
        <color theme="1"/>
        <rFont val="Calibri"/>
        <family val="2"/>
        <scheme val="minor"/>
      </rPr>
      <t>(</t>
    </r>
    <r>
      <rPr>
        <sz val="12"/>
        <color rgb="FF0000FF"/>
        <rFont val="Lucida Console"/>
        <family val="3"/>
      </rPr>
      <t>Subnet</t>
    </r>
    <r>
      <rPr>
        <sz val="12"/>
        <color theme="1"/>
        <rFont val="Calibri"/>
        <family val="2"/>
        <scheme val="minor"/>
      </rPr>
      <t xml:space="preserve"> as </t>
    </r>
    <r>
      <rPr>
        <i/>
        <sz val="12"/>
        <rFont val="Calibri"/>
        <family val="2"/>
        <scheme val="minor"/>
      </rPr>
      <t>string</t>
    </r>
    <r>
      <rPr>
        <sz val="12"/>
        <rFont val="Calibri"/>
        <family val="2"/>
        <scheme val="minor"/>
      </rPr>
      <t xml:space="preserve">, </t>
    </r>
    <r>
      <rPr>
        <sz val="12"/>
        <color theme="1"/>
        <rFont val="Calibri"/>
        <family val="2"/>
        <scheme val="minor"/>
      </rPr>
      <t>[</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</si>
  <si>
    <t>tip: press ctrl + shift + A to insert the argument names and parentheses when the insertion point is to the right of a function name in a formula.
Press ctrl-/ to select the current array</t>
  </si>
  <si>
    <r>
      <rPr>
        <b/>
        <sz val="12"/>
        <color indexed="8"/>
        <rFont val="Calibri"/>
        <family val="2"/>
      </rPr>
      <t>Summary</t>
    </r>
    <r>
      <rPr>
        <sz val="12"/>
        <color theme="1"/>
        <rFont val="Calibri"/>
        <family val="2"/>
        <scheme val="minor"/>
      </rPr>
      <t xml:space="preserve"> is an IPv4 or IPv6 address and mask in the form x:x:x:x::/yy (IPv4 &amp; IPv6), x.x.x.x y.y.y.y (IPv4 Only) where y.y.y.y is a subnet mask or wildcard mask. Full, shortened and quad-dotted IPv6 address format can be used.</t>
    </r>
  </si>
  <si>
    <r>
      <rPr>
        <b/>
        <sz val="12"/>
        <color indexed="8"/>
        <rFont val="Calibri"/>
        <family val="2"/>
      </rPr>
      <t>PrefixLength</t>
    </r>
    <r>
      <rPr>
        <sz val="12"/>
        <color theme="1"/>
        <rFont val="Calibri"/>
        <family val="2"/>
        <scheme val="minor"/>
      </rPr>
      <t xml:space="preserve"> is a Long representing the size of the subnets e.g. 26 for 26 bits.</t>
    </r>
  </si>
  <si>
    <r>
      <rPr>
        <b/>
        <sz val="12"/>
        <color indexed="8"/>
        <rFont val="Calibri"/>
        <family val="2"/>
      </rPr>
      <t>OutputFormat (Optional)</t>
    </r>
    <r>
      <rPr>
        <sz val="12"/>
        <color theme="1"/>
        <rFont val="Calibri"/>
        <family val="2"/>
        <scheme val="minor"/>
      </rPr>
      <t xml:space="preserve"> See standard IP functions OutputFormat</t>
    </r>
  </si>
  <si>
    <t>Increase or decrease the subnet length below</t>
  </si>
  <si>
    <t>Subnet Length</t>
  </si>
  <si>
    <t>Network</t>
  </si>
  <si>
    <t>192.168.0.0/28</t>
  </si>
  <si>
    <t>Returned Array:</t>
  </si>
  <si>
    <t>ipSummarise</t>
  </si>
  <si>
    <t>Summarise a list of subnets. Removes subnets included in larger ones and merge subnets where possible. Useful to clean up a long list of static routes for example.</t>
  </si>
  <si>
    <r>
      <rPr>
        <sz val="12"/>
        <color theme="9" tint="-0.249977111117893"/>
        <rFont val="Lucida Console"/>
        <family val="3"/>
      </rPr>
      <t>ipSummarise</t>
    </r>
    <r>
      <rPr>
        <sz val="12"/>
        <color theme="1"/>
        <rFont val="Lucida Console"/>
        <family val="3"/>
      </rPr>
      <t>(</t>
    </r>
    <r>
      <rPr>
        <sz val="12"/>
        <color rgb="FF0000FF"/>
        <rFont val="Lucida Console"/>
        <family val="3"/>
      </rPr>
      <t>Source</t>
    </r>
    <r>
      <rPr>
        <sz val="12"/>
        <color theme="1"/>
        <rFont val="Lucida Console"/>
        <family val="3"/>
      </rPr>
      <t xml:space="preserve"> as </t>
    </r>
    <r>
      <rPr>
        <i/>
        <sz val="12"/>
        <rFont val="Lucida Console"/>
        <family val="3"/>
      </rPr>
      <t>range</t>
    </r>
    <r>
      <rPr>
        <sz val="12"/>
        <rFont val="Lucida Console"/>
        <family val="3"/>
      </rPr>
      <t xml:space="preserve">, </t>
    </r>
    <r>
      <rPr>
        <sz val="12"/>
        <color theme="1"/>
        <rFont val="Lucida Console"/>
        <family val="3"/>
      </rPr>
      <t>[</t>
    </r>
    <r>
      <rPr>
        <sz val="12"/>
        <color rgb="FF0000FF"/>
        <rFont val="Lucida Console"/>
        <family val="3"/>
      </rPr>
      <t>OutputFormat</t>
    </r>
    <r>
      <rPr>
        <sz val="12"/>
        <color theme="1"/>
        <rFont val="Lucida Console"/>
        <family val="3"/>
      </rPr>
      <t xml:space="preserve"> as </t>
    </r>
    <r>
      <rPr>
        <i/>
        <sz val="12"/>
        <color theme="1"/>
        <rFont val="Lucida Console"/>
        <family val="3"/>
      </rPr>
      <t>Long</t>
    </r>
    <r>
      <rPr>
        <sz val="12"/>
        <color theme="1"/>
        <rFont val="Lucida Console"/>
        <family val="3"/>
      </rPr>
      <t>], [</t>
    </r>
    <r>
      <rPr>
        <sz val="12"/>
        <color rgb="FF0000FF"/>
        <rFont val="Lucida Console"/>
        <family val="3"/>
      </rPr>
      <t>Merge</t>
    </r>
    <r>
      <rPr>
        <sz val="12"/>
        <color theme="1"/>
        <rFont val="Lucida Console"/>
        <family val="3"/>
      </rPr>
      <t xml:space="preserve"> as </t>
    </r>
    <r>
      <rPr>
        <i/>
        <sz val="12"/>
        <color theme="1"/>
        <rFont val="Lucida Console"/>
        <family val="3"/>
      </rPr>
      <t>boolean</t>
    </r>
    <r>
      <rPr>
        <sz val="12"/>
        <color theme="1"/>
        <rFont val="Lucida Console"/>
        <family val="3"/>
      </rPr>
      <t>])</t>
    </r>
  </si>
  <si>
    <r>
      <rPr>
        <b/>
        <sz val="12"/>
        <color indexed="8"/>
        <rFont val="Calibri"/>
        <family val="2"/>
      </rPr>
      <t>Source</t>
    </r>
    <r>
      <rPr>
        <sz val="12"/>
        <color theme="1"/>
        <rFont val="Calibri"/>
        <family val="2"/>
        <scheme val="minor"/>
      </rPr>
      <t xml:space="preserve"> is list of IPv4 or IPv6 subnets</t>
    </r>
  </si>
  <si>
    <r>
      <rPr>
        <b/>
        <sz val="12"/>
        <color indexed="8"/>
        <rFont val="Calibri"/>
        <family val="2"/>
      </rPr>
      <t>Merge (Optional)</t>
    </r>
    <r>
      <rPr>
        <sz val="12"/>
        <color theme="1"/>
        <rFont val="Calibri"/>
        <family val="2"/>
        <scheme val="minor"/>
      </rPr>
      <t xml:space="preserve"> Decide whether the subnets can be merged or not. Default is TRUE.</t>
    </r>
  </si>
  <si>
    <t>Source</t>
  </si>
  <si>
    <t>ipSumExtract</t>
  </si>
  <si>
    <t>192.167.150.0/32</t>
  </si>
  <si>
    <t>192.168.1.0/24</t>
  </si>
  <si>
    <t>192.168.2.0/24</t>
  </si>
  <si>
    <t>192.168.3.0/22</t>
  </si>
  <si>
    <t>::192.168.0.1/120</t>
  </si>
  <si>
    <t>192.168.124.0/24</t>
  </si>
  <si>
    <t>192.168.12.0/23</t>
  </si>
  <si>
    <t>::1/120</t>
  </si>
  <si>
    <t>192.168.18.0/22</t>
  </si>
  <si>
    <t>192.168.8.0/24</t>
  </si>
  <si>
    <t>ipSort</t>
  </si>
  <si>
    <t>Return a sorted a list of IP addresses, IPv4 addresses first then IPv6 addresses.</t>
  </si>
  <si>
    <r>
      <rPr>
        <sz val="12"/>
        <color theme="9" tint="-0.249977111117893"/>
        <rFont val="Lucida Console"/>
        <family val="3"/>
      </rPr>
      <t>ipSort</t>
    </r>
    <r>
      <rPr>
        <sz val="12"/>
        <color theme="1"/>
        <rFont val="Lucida Console"/>
        <family val="3"/>
      </rPr>
      <t>(</t>
    </r>
    <r>
      <rPr>
        <sz val="12"/>
        <color rgb="FF0000FF"/>
        <rFont val="Lucida Console"/>
        <family val="3"/>
      </rPr>
      <t>Source</t>
    </r>
    <r>
      <rPr>
        <sz val="12"/>
        <color theme="1"/>
        <rFont val="Lucida Console"/>
        <family val="3"/>
      </rPr>
      <t xml:space="preserve"> as </t>
    </r>
    <r>
      <rPr>
        <i/>
        <sz val="12"/>
        <rFont val="Lucida Console"/>
        <family val="3"/>
      </rPr>
      <t>range</t>
    </r>
    <r>
      <rPr>
        <sz val="12"/>
        <rFont val="Lucida Console"/>
        <family val="3"/>
      </rPr>
      <t xml:space="preserve">, </t>
    </r>
    <r>
      <rPr>
        <sz val="12"/>
        <color theme="1"/>
        <rFont val="Lucida Console"/>
        <family val="3"/>
      </rPr>
      <t>[</t>
    </r>
    <r>
      <rPr>
        <sz val="12"/>
        <color rgb="FF0000FF"/>
        <rFont val="Lucida Console"/>
        <family val="3"/>
      </rPr>
      <t>OutputFormat</t>
    </r>
    <r>
      <rPr>
        <sz val="12"/>
        <color theme="1"/>
        <rFont val="Lucida Console"/>
        <family val="3"/>
      </rPr>
      <t xml:space="preserve"> as </t>
    </r>
    <r>
      <rPr>
        <i/>
        <sz val="12"/>
        <color theme="1"/>
        <rFont val="Lucida Console"/>
        <family val="3"/>
      </rPr>
      <t>Long</t>
    </r>
    <r>
      <rPr>
        <sz val="12"/>
        <color theme="1"/>
        <rFont val="Lucida Console"/>
        <family val="3"/>
      </rPr>
      <t>]</t>
    </r>
    <r>
      <rPr>
        <sz val="12"/>
        <color theme="1"/>
        <rFont val="Lucida Console"/>
        <family val="3"/>
      </rPr>
      <t>)</t>
    </r>
  </si>
  <si>
    <t>Checks if the IP address or subnet belongs to one of the subnets in a list. Returns the subnet if yes, returns N/A if not. Can also be used as a non-array function.</t>
  </si>
  <si>
    <t>192.168.0.1</t>
  </si>
  <si>
    <t>192.168.0.0/24</t>
  </si>
  <si>
    <t>192.168.1.1</t>
  </si>
  <si>
    <t>192.168.2.1</t>
  </si>
  <si>
    <t>192.168.3.0/24</t>
  </si>
  <si>
    <t>192.168.3.1</t>
  </si>
  <si>
    <t>Excel IP Functions: Other</t>
  </si>
  <si>
    <t>Other UDF functions included in this module.</t>
  </si>
  <si>
    <t>ipOffset</t>
  </si>
  <si>
    <t>Offset an IP address with no specific checks.</t>
  </si>
  <si>
    <t>"192.168.0.0/24","0i10.0.0.0" returns 202.168.0.0/24</t>
  </si>
  <si>
    <r>
      <rPr>
        <sz val="12"/>
        <color theme="9" tint="-0.249977111117893"/>
        <rFont val="Lucida Console"/>
        <family val="3"/>
      </rPr>
      <t>ipOffset</t>
    </r>
    <r>
      <rPr>
        <sz val="12"/>
        <color theme="1"/>
        <rFont val="Calibri"/>
        <family val="2"/>
        <scheme val="minor"/>
      </rPr>
      <t>(</t>
    </r>
    <r>
      <rPr>
        <sz val="12"/>
        <color rgb="FF0000FF"/>
        <rFont val="Lucida Console"/>
        <family val="3"/>
      </rPr>
      <t>Input</t>
    </r>
    <r>
      <rPr>
        <sz val="12"/>
        <color theme="1"/>
        <rFont val="Calibri"/>
        <family val="2"/>
        <scheme val="minor"/>
      </rPr>
      <t xml:space="preserve"> as </t>
    </r>
    <r>
      <rPr>
        <i/>
        <sz val="12"/>
        <color theme="1"/>
        <rFont val="Calibri"/>
        <family val="2"/>
        <scheme val="minor"/>
      </rPr>
      <t>string</t>
    </r>
    <r>
      <rPr>
        <sz val="12"/>
        <color theme="1"/>
        <rFont val="Calibri"/>
        <family val="2"/>
        <scheme val="minor"/>
      </rPr>
      <t xml:space="preserve">, </t>
    </r>
    <r>
      <rPr>
        <sz val="12"/>
        <color rgb="FF0000FF"/>
        <rFont val="Lucida Console"/>
        <family val="3"/>
      </rPr>
      <t>Offset</t>
    </r>
    <r>
      <rPr>
        <sz val="12"/>
        <color theme="1"/>
        <rFont val="Calibri"/>
        <family val="2"/>
        <scheme val="minor"/>
      </rPr>
      <t xml:space="preserve"> as string, [</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</si>
  <si>
    <r>
      <rPr>
        <b/>
        <sz val="12"/>
        <color indexed="8"/>
        <rFont val="Calibri"/>
        <family val="2"/>
      </rPr>
      <t>Input</t>
    </r>
    <r>
      <rPr>
        <sz val="12"/>
        <color indexed="8"/>
        <rFont val="Calibri"/>
        <family val="2"/>
      </rPr>
      <t xml:space="preserve"> is</t>
    </r>
    <r>
      <rPr>
        <sz val="12"/>
        <color theme="1"/>
        <rFont val="Calibri"/>
        <family val="2"/>
        <scheme val="minor"/>
      </rPr>
      <t xml:space="preserve"> an IPv4 or IPv6 address and mask in the form x:x:x:x::/yy (IPv4 &amp; IPv6), x.x.x.x y.y.y.y (IPv4 Only) where y.y.y.y is a subnet mask or wildcard mask. Full, shortened and quad-dotted IPv6 address format can be used.</t>
    </r>
  </si>
  <si>
    <r>
      <rPr>
        <b/>
        <sz val="12"/>
        <color indexed="8"/>
        <rFont val="Calibri"/>
        <family val="2"/>
      </rPr>
      <t>Offset</t>
    </r>
    <r>
      <rPr>
        <sz val="12"/>
        <color indexed="8"/>
        <rFont val="Calibri"/>
        <family val="2"/>
      </rPr>
      <t xml:space="preserve"> is a decimal, hexadecimal, binary or IP address to add or substract to the host address. Decimal values should be entered as is and are limited to 14 Bytes. Binary values should be preceded by '0b'. IP addresses should be preceded by '0i'. Hex values should be preceded by '0x'. To substract, include a minus sign at the very beginning. Do not include any space.
Examples of valid offset values: 1, -1, 5, -5, 0b1001, -0xff, -0i::5</t>
    </r>
  </si>
  <si>
    <t>Input</t>
  </si>
  <si>
    <t>192.168.0.1/24</t>
  </si>
  <si>
    <t>0i10.0.0.0</t>
  </si>
  <si>
    <t>ipRoute</t>
  </si>
  <si>
    <r>
      <rPr>
        <sz val="12"/>
        <color theme="9" tint="-0.249977111117893"/>
        <rFont val="Lucida Console"/>
        <family val="3"/>
      </rPr>
      <t>ipRoute</t>
    </r>
    <r>
      <rPr>
        <sz val="12"/>
        <color theme="1"/>
        <rFont val="Calibri"/>
        <family val="2"/>
        <scheme val="minor"/>
      </rPr>
      <t xml:space="preserve">(RouteList as </t>
    </r>
    <r>
      <rPr>
        <i/>
        <sz val="12"/>
        <color theme="1"/>
        <rFont val="Calibri"/>
        <family val="2"/>
        <scheme val="minor"/>
      </rPr>
      <t>range</t>
    </r>
    <r>
      <rPr>
        <sz val="12"/>
        <color theme="1"/>
        <rFont val="Calibri"/>
        <family val="2"/>
        <scheme val="minor"/>
      </rPr>
      <t xml:space="preserve">, </t>
    </r>
    <r>
      <rPr>
        <sz val="12"/>
        <color rgb="FF0000FF"/>
        <rFont val="Lucida Console"/>
        <family val="3"/>
      </rPr>
      <t>Subnet</t>
    </r>
    <r>
      <rPr>
        <sz val="12"/>
        <color theme="1"/>
        <rFont val="Calibri"/>
        <family val="2"/>
        <scheme val="minor"/>
      </rPr>
      <t xml:space="preserve"> as string, [</t>
    </r>
    <r>
      <rPr>
        <sz val="12"/>
        <color rgb="FF0000FF"/>
        <rFont val="Lucida Console"/>
        <family val="3"/>
      </rPr>
      <t>OutputFormat</t>
    </r>
    <r>
      <rPr>
        <sz val="12"/>
        <color theme="1"/>
        <rFont val="Calibri"/>
        <family val="2"/>
        <scheme val="minor"/>
      </rPr>
      <t xml:space="preserve"> as </t>
    </r>
    <r>
      <rPr>
        <i/>
        <sz val="12"/>
        <color theme="1"/>
        <rFont val="Calibri"/>
        <family val="2"/>
        <scheme val="minor"/>
      </rPr>
      <t>Long</t>
    </r>
    <r>
      <rPr>
        <sz val="12"/>
        <color theme="1"/>
        <rFont val="Calibri"/>
        <family val="2"/>
        <scheme val="minor"/>
      </rPr>
      <t>])</t>
    </r>
  </si>
  <si>
    <t>RouteList</t>
  </si>
  <si>
    <t>192.168.2.0/28</t>
  </si>
  <si>
    <t>192.168.4.0/24</t>
  </si>
  <si>
    <t>ipVersion</t>
  </si>
  <si>
    <t>Returns Excel IP Functions version information. This function does not take any argument.</t>
  </si>
  <si>
    <r>
      <rPr>
        <sz val="12"/>
        <color theme="9" tint="-0.249977111117893"/>
        <rFont val="Lucida Console"/>
        <family val="3"/>
      </rPr>
      <t>ipVersion</t>
    </r>
    <r>
      <rPr>
        <sz val="12"/>
        <color theme="1"/>
        <rFont val="Calibri"/>
        <family val="2"/>
        <scheme val="minor"/>
      </rPr>
      <t>()</t>
    </r>
  </si>
  <si>
    <t>No argument</t>
  </si>
  <si>
    <t>Excel IP Functions: Macros</t>
  </si>
  <si>
    <t>Excel IP Functions is a suite of Microsoft Excel User Defined Functions (UDF) to manipulate IPv4 and IPv6 addresses in place.</t>
  </si>
  <si>
    <t>Macro</t>
  </si>
  <si>
    <t>IP_Reformat</t>
  </si>
  <si>
    <t>Change the format of selected IP addresses or subnets</t>
  </si>
  <si>
    <t>IP_SortAndReformat</t>
  </si>
  <si>
    <t>Change the format of selected IP addresses or subnets and sort them the list</t>
  </si>
  <si>
    <t>IP_Summarise</t>
  </si>
  <si>
    <t>Clean up a list of subnets by removing the subnets included in a larger one and sorting the resulting list</t>
  </si>
  <si>
    <r>
      <t xml:space="preserve">All macros ask for the desired IP </t>
    </r>
    <r>
      <rPr>
        <i/>
        <sz val="12"/>
        <color indexed="8"/>
        <rFont val="Calibri"/>
        <family val="2"/>
      </rPr>
      <t>Output Format.</t>
    </r>
    <r>
      <rPr>
        <i/>
        <sz val="12"/>
        <color theme="1"/>
        <rFont val="Calibri"/>
        <family val="2"/>
        <scheme val="minor"/>
      </rPr>
      <t xml:space="preserve"> Use the 1, 2 or 3 digit Output Format of host functions.</t>
    </r>
  </si>
  <si>
    <t>Copy and paste the sample data into the test area. Select the data in the test area.</t>
  </si>
  <si>
    <t>In the Developer tab, click "Macros" and run the desired macro. The data in the list will be permanently modified.</t>
  </si>
  <si>
    <t>Sample Data</t>
  </si>
  <si>
    <t>Test area</t>
  </si>
  <si>
    <t>192.168.7.0/22</t>
  </si>
  <si>
    <t>192.168.9.0/24</t>
  </si>
  <si>
    <t>192.168.10.0/24</t>
  </si>
  <si>
    <t>192.168.11.0/24</t>
  </si>
  <si>
    <t>192.168.18.0/24</t>
  </si>
  <si>
    <t>::192.172.0.1/120</t>
  </si>
  <si>
    <t>::192.173.0.1/120</t>
  </si>
  <si>
    <t>::192.174.0.1/120</t>
  </si>
  <si>
    <t>Excel IP Functions: Function Rules</t>
  </si>
  <si>
    <t>These functions respect as much as possible the official rules of IPv4 and IPv6 addressing. Those rules used are listed below.</t>
  </si>
  <si>
    <t>Addressing Rules</t>
  </si>
  <si>
    <t>IPv4</t>
  </si>
  <si>
    <t>IPv6</t>
  </si>
  <si>
    <t>First Address</t>
  </si>
  <si>
    <t>Network Address</t>
  </si>
  <si>
    <t>Subnet-router anycast Address</t>
  </si>
  <si>
    <t>First Host Address</t>
  </si>
  <si>
    <t>If subnet mask &lt; 31 then it follows the network address (i.e. 192.168.0.0/24)
If subnet mask &gt;= 31 then it is the first address (i.e. 192.168.0.0/31)</t>
  </si>
  <si>
    <t>If subnet mask &lt; 127 then it follows the Subnet-router anycast Address
If subnet mask &gt;= 127 then it is the first address</t>
  </si>
  <si>
    <t>Last Host Address</t>
  </si>
  <si>
    <t>If subnet mask &lt; 31 then it precedes the broadcast address (i.e. 192.168.0.254/24)
If subnet mask &gt;= 31 then it is the last address (i.e. 192.168.0.1/31)</t>
  </si>
  <si>
    <t>If subnet mask &lt;= 120 then it is the address preceding the 128 reserved anycast addresses
If subnet mask &gt; 120 then it is the last address</t>
  </si>
  <si>
    <t>Broadcast Address</t>
  </si>
  <si>
    <t>Last Address of the subnet unless subnet mask &gt;= in which case it does not exist.</t>
  </si>
  <si>
    <t>No Broadcast Adddress in IPv6</t>
  </si>
  <si>
    <t>Wildcard Mask</t>
  </si>
  <si>
    <t>If 0.0.0.0 is given as second argument, it is assumed to be a subnet mask, not a wildcard mask.</t>
  </si>
  <si>
    <t>-</t>
  </si>
  <si>
    <t>Known Bugs and limitations</t>
  </si>
  <si>
    <t>ipHostCount
ipSumSubCount</t>
  </si>
  <si>
    <t>These calculations are made with a Double data type and will therefore be approximate for very large numbers.</t>
  </si>
  <si>
    <t>Decimal offset is limited to 79,228,162,514,264,337,593,543,950,335.</t>
  </si>
  <si>
    <t>192.168.0.0/26</t>
  </si>
  <si>
    <r>
      <rPr>
        <sz val="12"/>
        <color theme="9" tint="-0.249977111117893"/>
        <rFont val="Lucida Console"/>
        <family val="3"/>
      </rPr>
      <t>ipRoute</t>
    </r>
    <r>
      <rPr>
        <sz val="12"/>
        <color theme="1"/>
        <rFont val="Lucida Console"/>
        <family val="3"/>
      </rPr>
      <t>(</t>
    </r>
    <r>
      <rPr>
        <sz val="12"/>
        <color rgb="FF0000FF"/>
        <rFont val="Lucida Console"/>
        <family val="3"/>
      </rPr>
      <t>Source</t>
    </r>
    <r>
      <rPr>
        <sz val="12"/>
        <color theme="1"/>
        <rFont val="Lucida Console"/>
        <family val="3"/>
      </rPr>
      <t xml:space="preserve"> as </t>
    </r>
    <r>
      <rPr>
        <i/>
        <sz val="12"/>
        <rFont val="Lucida Console"/>
        <family val="3"/>
      </rPr>
      <t>range</t>
    </r>
    <r>
      <rPr>
        <sz val="12"/>
        <rFont val="Lucida Console"/>
        <family val="3"/>
      </rPr>
      <t xml:space="preserve">, </t>
    </r>
    <r>
      <rPr>
        <sz val="12"/>
        <color rgb="FF0000FF"/>
        <rFont val="Lucida Console"/>
        <family val="3"/>
      </rPr>
      <t>RouteList</t>
    </r>
    <r>
      <rPr>
        <sz val="12"/>
        <rFont val="Lucida Console"/>
        <family val="3"/>
      </rPr>
      <t xml:space="preserve"> as range, </t>
    </r>
    <r>
      <rPr>
        <sz val="12"/>
        <color theme="1"/>
        <rFont val="Lucida Console"/>
        <family val="3"/>
      </rPr>
      <t>[</t>
    </r>
    <r>
      <rPr>
        <sz val="12"/>
        <color rgb="FF0000FF"/>
        <rFont val="Lucida Console"/>
        <family val="3"/>
      </rPr>
      <t>OutputFormat</t>
    </r>
    <r>
      <rPr>
        <sz val="12"/>
        <color theme="1"/>
        <rFont val="Lucida Console"/>
        <family val="3"/>
      </rPr>
      <t xml:space="preserve"> as </t>
    </r>
    <r>
      <rPr>
        <i/>
        <sz val="12"/>
        <color theme="1"/>
        <rFont val="Lucida Console"/>
        <family val="3"/>
      </rPr>
      <t>Long</t>
    </r>
    <r>
      <rPr>
        <sz val="12"/>
        <color theme="1"/>
        <rFont val="Lucida Console"/>
        <family val="3"/>
      </rPr>
      <t>])</t>
    </r>
  </si>
  <si>
    <r>
      <rPr>
        <b/>
        <sz val="12"/>
        <color indexed="8"/>
        <rFont val="Calibri"/>
        <family val="2"/>
      </rPr>
      <t>RouteList</t>
    </r>
    <r>
      <rPr>
        <sz val="12"/>
        <color theme="1"/>
        <rFont val="Calibri"/>
        <family val="2"/>
        <scheme val="minor"/>
      </rPr>
      <t xml:space="preserve"> List of subnets to compare with</t>
    </r>
  </si>
  <si>
    <t>192.168.3.12/26</t>
  </si>
  <si>
    <t>::192.168.1.1/120</t>
  </si>
  <si>
    <t>::192.168.2.1/120</t>
  </si>
  <si>
    <t>::192.168.3.1/120</t>
  </si>
  <si>
    <t>Parsing</t>
  </si>
  <si>
    <t>No subnet mask provided</t>
  </si>
  <si>
    <t>a /32 is assumed except for previous and next host functions</t>
  </si>
  <si>
    <t>a /128 is assumed except for previous and next host functions</t>
  </si>
  <si>
    <t>Route List</t>
  </si>
  <si>
    <t>Some additional standard functions are covered in this section.</t>
  </si>
  <si>
    <t>17.151.28.5/32</t>
  </si>
  <si>
    <t>10.2.160.69</t>
  </si>
  <si>
    <t>92.168.149.0/24</t>
  </si>
  <si>
    <t>10.2.160.17</t>
  </si>
  <si>
    <t>193.113.149.54/32</t>
  </si>
  <si>
    <t>10.2.160.85</t>
  </si>
  <si>
    <t>193.113.149.50/32</t>
  </si>
  <si>
    <t>193.113.149.62/32</t>
  </si>
  <si>
    <t>193.113.149.58/32</t>
  </si>
  <si>
    <t>100.64.249.0/24</t>
  </si>
  <si>
    <t>100.64.29.0/24</t>
  </si>
  <si>
    <t>100.64.252.0/24</t>
  </si>
  <si>
    <t>100.64.28.0/24</t>
  </si>
  <si>
    <t>92.168.14.0/24</t>
  </si>
  <si>
    <t>10.2.160.90</t>
  </si>
  <si>
    <t>185.6.176.4/32</t>
  </si>
  <si>
    <t>10.2.160.226</t>
  </si>
  <si>
    <t>185.6.176.1/32</t>
  </si>
  <si>
    <t>185.6.176.10/32</t>
  </si>
  <si>
    <t>86.12.146.0/24</t>
  </si>
  <si>
    <t>10.2.160.214</t>
  </si>
  <si>
    <t>92.168.25.0/24</t>
  </si>
  <si>
    <t>92.168.127.0/24</t>
  </si>
  <si>
    <t>10.2.161.14</t>
  </si>
  <si>
    <t>195.90.94.0/27</t>
  </si>
  <si>
    <t>80.244.182.52/32</t>
  </si>
  <si>
    <t>192.168.9.32/28</t>
  </si>
  <si>
    <t>192.168.9.0/28</t>
  </si>
  <si>
    <t>5.10.98.0/29</t>
  </si>
  <si>
    <t>92.168.92.0/24</t>
  </si>
  <si>
    <t>Vlan92</t>
  </si>
  <si>
    <t>195.90.95.0/27</t>
  </si>
  <si>
    <t>23.62.2.8/32</t>
  </si>
  <si>
    <t>23.62.2.10/32</t>
  </si>
  <si>
    <t>172.106.217.0/24</t>
  </si>
  <si>
    <t>10.2.160.206</t>
  </si>
  <si>
    <t>172.106.142.0/24</t>
  </si>
  <si>
    <t>172.106.46.0/24</t>
  </si>
  <si>
    <t>172.106.223.0/24</t>
  </si>
  <si>
    <t>172.106.226.0/24</t>
  </si>
  <si>
    <t>172.106.224.0/24</t>
  </si>
  <si>
    <t>172.106.70.0/24</t>
  </si>
  <si>
    <t>172.106.137.0/24</t>
  </si>
  <si>
    <t>172.106.67.0/24</t>
  </si>
  <si>
    <t>172.106.225.0/24</t>
  </si>
  <si>
    <t>172.107.104.0/24</t>
  </si>
  <si>
    <t>172.107.154.64/26</t>
  </si>
  <si>
    <t>172.104.200.18/32</t>
  </si>
  <si>
    <t>172.25.7.62</t>
  </si>
  <si>
    <t>172.104.200.17/32</t>
  </si>
  <si>
    <t>172.105.28.0/24</t>
  </si>
  <si>
    <t>172.105.163.0/24</t>
  </si>
  <si>
    <t>172.19.2.0/24</t>
  </si>
  <si>
    <t>172.19.16.0/20</t>
  </si>
  <si>
    <t>172.18.61.0/24</t>
  </si>
  <si>
    <t>172.18.108.0/24</t>
  </si>
  <si>
    <t>172.18.100.0/24</t>
  </si>
  <si>
    <t>172.18.0.0/16</t>
  </si>
  <si>
    <t>172.18.28.0/24</t>
  </si>
  <si>
    <t>172.18.56.0/24</t>
  </si>
  <si>
    <t>172.18.5.3/32</t>
  </si>
  <si>
    <t>172.18.69.0/24</t>
  </si>
  <si>
    <t>172.18.5.19/32</t>
  </si>
  <si>
    <t>172.18.5.23/32</t>
  </si>
  <si>
    <t>172.18.5.20/32</t>
  </si>
  <si>
    <t>172.18.5.21/32</t>
  </si>
  <si>
    <t>172.18.5.24/32</t>
  </si>
  <si>
    <t>172.18.5.25/32</t>
  </si>
  <si>
    <t>172.18.116.112/28</t>
  </si>
  <si>
    <t>172.21.0.0/16</t>
  </si>
  <si>
    <t>172.21.41.0/32</t>
  </si>
  <si>
    <t>172.25.223.0/24</t>
  </si>
  <si>
    <t>172.25.217.0/24</t>
  </si>
  <si>
    <t>172.25.6.32/28</t>
  </si>
  <si>
    <t>Vlan3778</t>
  </si>
  <si>
    <t>172.25.19.72/30</t>
  </si>
  <si>
    <t>172.25.215.0/24</t>
  </si>
  <si>
    <t>172.25.6.16/28</t>
  </si>
  <si>
    <t>172.25.6.46</t>
  </si>
  <si>
    <t>172.25.19.64/30</t>
  </si>
  <si>
    <t>172.25.6.0/28</t>
  </si>
  <si>
    <t>172.25.19.40/30</t>
  </si>
  <si>
    <t>172.25.19.44/30</t>
  </si>
  <si>
    <t>172.25.17.14/32</t>
  </si>
  <si>
    <t>172.25.209.0/24</t>
  </si>
  <si>
    <t>172.25.2.48/32</t>
  </si>
  <si>
    <t>172.25.19.36/30</t>
  </si>
  <si>
    <t>172.25.2.43/32</t>
  </si>
  <si>
    <t>172.25.7.54</t>
  </si>
  <si>
    <t>172.25.19.56/30</t>
  </si>
  <si>
    <t>172.25.2.46/32</t>
  </si>
  <si>
    <t>10.2.160.121</t>
  </si>
  <si>
    <t>172.25.2.47/32</t>
  </si>
  <si>
    <t>172.25.2.44/32</t>
  </si>
  <si>
    <t>172.25.19.60/30</t>
  </si>
  <si>
    <t>172.25.2.45/32</t>
  </si>
  <si>
    <t>172.25.224.0/20</t>
  </si>
  <si>
    <t>172.25.192.0/20</t>
  </si>
  <si>
    <t>172.25.64.0/18</t>
  </si>
  <si>
    <t>172.25.32.0/20</t>
  </si>
  <si>
    <t>172.25.2.34/32</t>
  </si>
  <si>
    <t>172.25.2.35/32</t>
  </si>
  <si>
    <t>172.25.19.48/30</t>
  </si>
  <si>
    <t>172.25.2.33/32</t>
  </si>
  <si>
    <t>172.25.19.52/30</t>
  </si>
  <si>
    <t>172.25.19.8/30</t>
  </si>
  <si>
    <t>172.25.19.12/30</t>
  </si>
  <si>
    <t>172.25.211.0/24</t>
  </si>
  <si>
    <t>172.25.19.4/30</t>
  </si>
  <si>
    <t>172.25.19.24/30</t>
  </si>
  <si>
    <t>172.25.19.28/30</t>
  </si>
  <si>
    <t>172.25.19.16/30</t>
  </si>
  <si>
    <t>172.25.2.3/32</t>
  </si>
  <si>
    <t>Loopback0</t>
  </si>
  <si>
    <t>172.25.19.20/30</t>
  </si>
  <si>
    <t>172.25.7.160/29</t>
  </si>
  <si>
    <t>172.25.7.168/29</t>
  </si>
  <si>
    <t>172.25.7.176/29</t>
  </si>
  <si>
    <t>172.25.216.0/24</t>
  </si>
  <si>
    <t>172.25.218.0/24</t>
  </si>
  <si>
    <t>172.25.7.56/29</t>
  </si>
  <si>
    <t>Vlan3431</t>
  </si>
  <si>
    <t>172.25.212.0/24</t>
  </si>
  <si>
    <t>172.25.7.48/29</t>
  </si>
  <si>
    <t>Vlan3430</t>
  </si>
  <si>
    <t>172.25.214.0/24</t>
  </si>
  <si>
    <t>172.25.7.96/29</t>
  </si>
  <si>
    <t>172.25.16.14/32</t>
  </si>
  <si>
    <t>172.25.240.0/20</t>
  </si>
  <si>
    <t>172.25.208.0/24</t>
  </si>
  <si>
    <t>172.25.5.80/28</t>
  </si>
  <si>
    <t>10.2.160.174</t>
  </si>
  <si>
    <t>172.25.1.40/30</t>
  </si>
  <si>
    <t>172.25.7.72/29</t>
  </si>
  <si>
    <t>172.25.1.44/30</t>
  </si>
  <si>
    <t>172.25.7.64/29</t>
  </si>
  <si>
    <t>172.25.1.36/30</t>
  </si>
  <si>
    <t>172.25.7.88/29</t>
  </si>
  <si>
    <t>172.25.210.0/24</t>
  </si>
  <si>
    <t>172.25.18.0/27</t>
  </si>
  <si>
    <t>172.25.1.48/30</t>
  </si>
  <si>
    <t>172.25.7.80/29</t>
  </si>
  <si>
    <t>172.27.0.0/20</t>
  </si>
  <si>
    <t>172.26.6.0/24</t>
  </si>
  <si>
    <t>172.26.96.0/20</t>
  </si>
  <si>
    <t>172.26.64.0/20</t>
  </si>
  <si>
    <t>172.26.0.0/18</t>
  </si>
  <si>
    <t>172.29.0.0/18</t>
  </si>
  <si>
    <t>172.31.253.0/24</t>
  </si>
  <si>
    <t>172.31.249.0/24</t>
  </si>
  <si>
    <t>172.31.251.0/24</t>
  </si>
  <si>
    <t>172.30.8.140/32</t>
  </si>
  <si>
    <t>172.34.155.128/32</t>
  </si>
  <si>
    <t>92.168.26.0/24</t>
  </si>
  <si>
    <t>82.20.191.30/32</t>
  </si>
  <si>
    <t>92.168.251.0/24</t>
  </si>
  <si>
    <t>92.168.156.0/24</t>
  </si>
  <si>
    <t>10.2.160.38</t>
  </si>
  <si>
    <t>178.79.195.246/32</t>
  </si>
  <si>
    <t>178.79.195.247/32</t>
  </si>
  <si>
    <t>178.255.14.49/32</t>
  </si>
  <si>
    <t>178.255.14.26/32</t>
  </si>
  <si>
    <t>178.255.14.112/32</t>
  </si>
  <si>
    <t>92.168.39.0/24</t>
  </si>
  <si>
    <t>92.168.66.0/24</t>
  </si>
  <si>
    <t>10.2.160.168/29</t>
  </si>
  <si>
    <t>Vlan3881</t>
  </si>
  <si>
    <t>10.5.202.0/29</t>
  </si>
  <si>
    <t>10.30.159.64/28</t>
  </si>
  <si>
    <t>10.29.27.0/24</t>
  </si>
  <si>
    <t>10.30.159.80/28</t>
  </si>
  <si>
    <t>10.2.160.136/29</t>
  </si>
  <si>
    <t>Vlan3882</t>
  </si>
  <si>
    <t>10.128.0.0/10</t>
  </si>
  <si>
    <t>10.30.159.96/28</t>
  </si>
  <si>
    <t>10.30.159.112/28</t>
  </si>
  <si>
    <t>10.30.127.112/28</t>
  </si>
  <si>
    <t>10.238.0.0/16</t>
  </si>
  <si>
    <t>10.239.0.0/16</t>
  </si>
  <si>
    <t>10.236.0.0/16</t>
  </si>
  <si>
    <t>10.237.0.0/16</t>
  </si>
  <si>
    <t>10.235.0.0/16</t>
  </si>
  <si>
    <t>10.230.0.0/24</t>
  </si>
  <si>
    <t>10.2.160.224/30</t>
  </si>
  <si>
    <t>Vlan3870</t>
  </si>
  <si>
    <t>10.224.0.0/16</t>
  </si>
  <si>
    <t>10.30.159.0/28</t>
  </si>
  <si>
    <t>10.254.0.0/18</t>
  </si>
  <si>
    <t>10.250.0.0/16</t>
  </si>
  <si>
    <t>10.246.0.0/16</t>
  </si>
  <si>
    <t>10.245.0.0/16</t>
  </si>
  <si>
    <t>10.26.63.16/28</t>
  </si>
  <si>
    <t>10.2.160.105</t>
  </si>
  <si>
    <t>10.244.0.0/16</t>
  </si>
  <si>
    <t>10.243.0.0/16</t>
  </si>
  <si>
    <t>10.242.0.0/16</t>
  </si>
  <si>
    <t>10.241.0.0/16</t>
  </si>
  <si>
    <t>10.30.159.16/28</t>
  </si>
  <si>
    <t>10.240.0.0/16</t>
  </si>
  <si>
    <t>10.2.160.200/29</t>
  </si>
  <si>
    <t>Vlan3857</t>
  </si>
  <si>
    <t>10.26.63.32/28</t>
  </si>
  <si>
    <t>10.2.160.137</t>
  </si>
  <si>
    <t>10.198.0.0/16</t>
  </si>
  <si>
    <t>10.229.2.0/24</t>
  </si>
  <si>
    <t>10.192.0.0/16</t>
  </si>
  <si>
    <t>10.192.0.0/12</t>
  </si>
  <si>
    <t>10.30.159.32/28</t>
  </si>
  <si>
    <t>10.195.0.0/16</t>
  </si>
  <si>
    <t>10.221.0.0/16</t>
  </si>
  <si>
    <t>10.223.0.0/16</t>
  </si>
  <si>
    <t>10.222.0.0/16</t>
  </si>
  <si>
    <t>10.30.159.48/28</t>
  </si>
  <si>
    <t>10.208.0.0/15</t>
  </si>
  <si>
    <t>10.30.76.0/26</t>
  </si>
  <si>
    <t>10.2.160.208/29</t>
  </si>
  <si>
    <t>Vlan3856</t>
  </si>
  <si>
    <t>10.34.0.0/15</t>
  </si>
  <si>
    <t>10.0.2.0/24</t>
  </si>
  <si>
    <t>10.32.0.0/15</t>
  </si>
  <si>
    <t>10.38.0.0/16</t>
  </si>
  <si>
    <t>10.2.160.36/30</t>
  </si>
  <si>
    <t>Vlan3875</t>
  </si>
  <si>
    <t>10.36.0.0/15</t>
  </si>
  <si>
    <t>10.29.0.56/29</t>
  </si>
  <si>
    <t>10.2.160.44/30</t>
  </si>
  <si>
    <t>Vlan3874</t>
  </si>
  <si>
    <t>10.245.253.16/28</t>
  </si>
  <si>
    <t>10.4.0.0/16</t>
  </si>
  <si>
    <t>10.2.160.4/30</t>
  </si>
  <si>
    <t>Vlan3861</t>
  </si>
  <si>
    <t>10.10.0.0/30</t>
  </si>
  <si>
    <t>10.199.204.0/24</t>
  </si>
  <si>
    <t>10.12.0.0/21</t>
  </si>
  <si>
    <t>10.30.127.240/28</t>
  </si>
  <si>
    <t>10.17.0.0/16</t>
  </si>
  <si>
    <t>10.2.160.16/30</t>
  </si>
  <si>
    <t>Vlan3863</t>
  </si>
  <si>
    <t>10.21.0.0/18</t>
  </si>
  <si>
    <t>10.21.0.0/16</t>
  </si>
  <si>
    <t>Null0</t>
  </si>
  <si>
    <t>10.20.0.0/24</t>
  </si>
  <si>
    <t>10.20.0.0/18</t>
  </si>
  <si>
    <t>10.20.0.0/16</t>
  </si>
  <si>
    <t>10.23.128.0/19</t>
  </si>
  <si>
    <t>10.23.0.0/17</t>
  </si>
  <si>
    <t>10.23.0.0/16</t>
  </si>
  <si>
    <t>10.22.0.0/16</t>
  </si>
  <si>
    <t>10.2.160.20/30</t>
  </si>
  <si>
    <t>Vlan3865</t>
  </si>
  <si>
    <t>10.25.0.0/18</t>
  </si>
  <si>
    <t>10.2.160.21</t>
  </si>
  <si>
    <t>10.25.0.0/16</t>
  </si>
  <si>
    <t>10.27.96.0/19</t>
  </si>
  <si>
    <t>10.2.160.5</t>
  </si>
  <si>
    <t>10.27.64.0/19</t>
  </si>
  <si>
    <t>10.2.160.77</t>
  </si>
  <si>
    <t>10.27.0.0/18</t>
  </si>
  <si>
    <t>10.2.160.45</t>
  </si>
  <si>
    <t>10.27.0.0/16</t>
  </si>
  <si>
    <t>10.26.96.0/19</t>
  </si>
  <si>
    <t>10.26.64.0/19</t>
  </si>
  <si>
    <t>10.26.0.0/18</t>
  </si>
  <si>
    <t>10.26.0.0/16</t>
  </si>
  <si>
    <t>10.2.160.24/30</t>
  </si>
  <si>
    <t>Vlan3866</t>
  </si>
  <si>
    <t>10.29.96.0/19</t>
  </si>
  <si>
    <t>10.2.160.25</t>
  </si>
  <si>
    <t>10.29.0.0/18</t>
  </si>
  <si>
    <t>10.2.117.13</t>
  </si>
  <si>
    <t>10.29.0.0/16</t>
  </si>
  <si>
    <t>10.31.0.0/16</t>
  </si>
  <si>
    <t>10.30.0.0/24</t>
  </si>
  <si>
    <t>10.101.64.0/21</t>
  </si>
  <si>
    <t>10.64.0.32/28</t>
  </si>
  <si>
    <t>10.30.31.128/28</t>
  </si>
  <si>
    <t>10.2.160.104/29</t>
  </si>
  <si>
    <t>Vlan3873</t>
  </si>
  <si>
    <t>10.30.119.0/24</t>
  </si>
  <si>
    <t>10.2.151.0/24</t>
  </si>
  <si>
    <t>10.2.160.120/29</t>
  </si>
  <si>
    <t>Vlan3871</t>
  </si>
  <si>
    <t>10.2.160.68/30</t>
  </si>
  <si>
    <t>Vlan3852</t>
  </si>
  <si>
    <t>10.64.0.0/12</t>
  </si>
  <si>
    <t>10.2.160.76/30</t>
  </si>
  <si>
    <t>Vlan3872</t>
  </si>
  <si>
    <t>10.244.251.0/24</t>
  </si>
  <si>
    <t>10.30.117.0/24</t>
  </si>
  <si>
    <t>10.2.160.84/30</t>
  </si>
  <si>
    <t>Vlan3878</t>
  </si>
  <si>
    <t>10.27.100.0/24</t>
  </si>
  <si>
    <t>10.2.117.12/30</t>
  </si>
  <si>
    <t>Vlan3864</t>
  </si>
  <si>
    <t>10.2.160.88/29</t>
  </si>
  <si>
    <t>Vlan3868</t>
  </si>
  <si>
    <t>10.145.3.0/24</t>
  </si>
  <si>
    <t>10.31.75.0/24</t>
  </si>
  <si>
    <t>10.29.26.0/24</t>
  </si>
  <si>
    <t>10.2.137.0/24</t>
  </si>
  <si>
    <t>Vlan3837</t>
  </si>
  <si>
    <t>10.245.250.192/28</t>
  </si>
  <si>
    <t>10.199.197.0/24</t>
  </si>
  <si>
    <t>10.26.28.64/27</t>
  </si>
  <si>
    <t>10.238.240.0/21</t>
  </si>
  <si>
    <t>10.239.240.0/21</t>
  </si>
  <si>
    <t>10.236.240.0/21</t>
  </si>
  <si>
    <t>10.237.240.0/21</t>
  </si>
  <si>
    <t>10.101.56.0/21</t>
  </si>
  <si>
    <t>10.235.240.0/21</t>
  </si>
  <si>
    <t>10.250.240.0/21</t>
  </si>
  <si>
    <t>10.249.240.0/21</t>
  </si>
  <si>
    <t>10.248.240.0/21</t>
  </si>
  <si>
    <t>10.247.240.0/21</t>
  </si>
  <si>
    <t>10.246.240.0/21</t>
  </si>
  <si>
    <t>10.245.240.0/21</t>
  </si>
  <si>
    <t>10.244.240.0/21</t>
  </si>
  <si>
    <t>10.243.240.0/21</t>
  </si>
  <si>
    <t>10.242.240.0/21</t>
  </si>
  <si>
    <t>10.241.240.0/21</t>
  </si>
  <si>
    <t>10.240.240.0/21</t>
  </si>
  <si>
    <t>10.199.195.4/32</t>
  </si>
  <si>
    <t>10.30.158.0/27</t>
  </si>
  <si>
    <t>10.245.250.144/29</t>
  </si>
  <si>
    <t>10.25.28.0/27</t>
  </si>
  <si>
    <t>10.245.250.136/29</t>
  </si>
  <si>
    <t>10.29.28.0/24</t>
  </si>
  <si>
    <t>10.30.158.32/27</t>
  </si>
  <si>
    <t>10.29.30.208/28</t>
  </si>
  <si>
    <t>10.30.111.192/28</t>
  </si>
  <si>
    <t>10.0.3.0/24</t>
  </si>
  <si>
    <t>10.79.7.0/24</t>
  </si>
  <si>
    <t>10.20.1.0/24</t>
  </si>
  <si>
    <t>10.0.1.0/24</t>
  </si>
  <si>
    <t>10.2.161.0/28</t>
  </si>
  <si>
    <t>Vlan3862</t>
  </si>
  <si>
    <t>10.2.1.0/24</t>
  </si>
  <si>
    <t>10.30.80.0/24</t>
  </si>
  <si>
    <t>10.30.48.0/27</t>
  </si>
  <si>
    <t>10.101.48.0/21</t>
  </si>
  <si>
    <t>10.5.26.192/26</t>
  </si>
  <si>
    <t>10.145.254.0/29</t>
  </si>
  <si>
    <t>10.3.7.12/32</t>
  </si>
  <si>
    <t>10.27.5.0/24</t>
  </si>
  <si>
    <t>10.232.171.0/24</t>
  </si>
  <si>
    <t>10.112.82.0/26</t>
  </si>
  <si>
    <t>92.168.248.0/24</t>
  </si>
  <si>
    <t>92.168.158.0/24</t>
  </si>
  <si>
    <t>195.66.81.96/27</t>
  </si>
  <si>
    <t>195.66.81.128/27</t>
  </si>
  <si>
    <t>92.168.67.0/24</t>
  </si>
  <si>
    <t>92.168.22.0/24</t>
  </si>
  <si>
    <t>94.125.61.160/32</t>
  </si>
  <si>
    <t>94.125.61.171/32</t>
  </si>
  <si>
    <t>72.47.193.24/32</t>
  </si>
  <si>
    <t>193.17.171.129/32</t>
  </si>
  <si>
    <t>193.17.171.130/32</t>
  </si>
  <si>
    <t>193.82.152.128/25</t>
  </si>
  <si>
    <t>46.37.177.186/32</t>
  </si>
  <si>
    <t>92.168.68.0/24</t>
  </si>
  <si>
    <t>92.168.254.0/24</t>
  </si>
  <si>
    <t>62.7.228.0/24</t>
  </si>
  <si>
    <t>92.1.254.0/24</t>
  </si>
  <si>
    <t>198.252.200.64/27</t>
  </si>
  <si>
    <t>92.168.253.0/24</t>
  </si>
  <si>
    <t>92.168.2.0/24</t>
  </si>
  <si>
    <t>92.168.32.0/24</t>
  </si>
  <si>
    <t>91.207.36.39/32</t>
  </si>
  <si>
    <t>92.168.154.0/24</t>
  </si>
  <si>
    <t>92.168.33.0/24</t>
  </si>
  <si>
    <t>0.0.0.0/0</t>
  </si>
  <si>
    <t>92.168.0.0/16</t>
  </si>
  <si>
    <t>2001::/48</t>
  </si>
  <si>
    <t>All Summary functions begin with "ipSum" for identification. Their purpose is to operate on summaries (i.e. find the Xth /24 subnet in a large /20 summary).</t>
  </si>
  <si>
    <t>All Host functions begin with "ipSub" for identification. Their purpose is to manage subnets (i.e. current subnet address, next subnet,…).</t>
  </si>
  <si>
    <t>10.0.0.0</t>
  </si>
  <si>
    <t>172.16.0.1</t>
  </si>
  <si>
    <t>ipClassless</t>
  </si>
  <si>
    <t>Argument</t>
  </si>
  <si>
    <t>191.168.0.0</t>
  </si>
  <si>
    <t>192.168.0.0/25</t>
  </si>
  <si>
    <t>Adds the prefix length to IP classless subnets (i.e. 192.168.0.0). If a prefix length is provided, return the string as is.</t>
  </si>
  <si>
    <r>
      <rPr>
        <sz val="12"/>
        <color theme="9" tint="-0.249977111117893"/>
        <rFont val="Lucida Console"/>
        <family val="3"/>
      </rPr>
      <t>ipClassless</t>
    </r>
    <r>
      <rPr>
        <sz val="12"/>
        <color theme="1"/>
        <rFont val="Calibri"/>
        <family val="2"/>
        <scheme val="minor"/>
      </rPr>
      <t xml:space="preserve">(NetworkList as </t>
    </r>
    <r>
      <rPr>
        <i/>
        <sz val="12"/>
        <color theme="1"/>
        <rFont val="Calibri"/>
        <family val="2"/>
        <scheme val="minor"/>
      </rPr>
      <t>range</t>
    </r>
    <r>
      <rPr>
        <sz val="12"/>
        <color theme="1"/>
        <rFont val="Calibri"/>
        <family val="2"/>
        <scheme val="minor"/>
      </rPr>
      <t>)</t>
    </r>
  </si>
  <si>
    <r>
      <rPr>
        <b/>
        <sz val="12"/>
        <color indexed="8"/>
        <rFont val="Calibri"/>
        <family val="2"/>
      </rPr>
      <t>Input</t>
    </r>
    <r>
      <rPr>
        <sz val="12"/>
        <color indexed="8"/>
        <rFont val="Calibri"/>
        <family val="2"/>
      </rPr>
      <t xml:space="preserve"> is</t>
    </r>
    <r>
      <rPr>
        <sz val="12"/>
        <color theme="1"/>
        <rFont val="Calibri"/>
        <family val="2"/>
        <scheme val="minor"/>
      </rPr>
      <t xml:space="preserve"> a range of networks in the form x.x.x.x or x.x.x.x/y. Networks in the format x.x.x.x will have the prefix length added to them so they are in the format x.x.x.x/y. IPv4 only.</t>
    </r>
  </si>
  <si>
    <t>126.0.0.0</t>
  </si>
  <si>
    <t>127.0.0.0</t>
  </si>
  <si>
    <t>192.0.0.0</t>
  </si>
  <si>
    <t>Convert all cell references in the selected cells to Absolute Reference</t>
  </si>
  <si>
    <t>ConvertToAbsoluteRefs</t>
  </si>
  <si>
    <t>Convert IP to integer</t>
  </si>
  <si>
    <t>Convert IP to binary</t>
  </si>
  <si>
    <t>Padd IP</t>
  </si>
  <si>
    <t>Works with dynamic arrays</t>
  </si>
  <si>
    <t>Padd Subnet</t>
  </si>
  <si>
    <t>Useful IP Address Excel Functions</t>
  </si>
  <si>
    <t>Octet 1</t>
  </si>
  <si>
    <t>Octet 2</t>
  </si>
  <si>
    <t>Octet 3</t>
  </si>
  <si>
    <t>Octet 4</t>
  </si>
  <si>
    <t>Mask</t>
  </si>
  <si>
    <t>Invert Mask</t>
  </si>
  <si>
    <t>Binary</t>
  </si>
  <si>
    <t>Lambda Formulas</t>
  </si>
  <si>
    <t>10.0.0.0/8</t>
  </si>
  <si>
    <t>Add to name manager without the paramtres in the last brackets</t>
  </si>
  <si>
    <t>ip</t>
  </si>
  <si>
    <t>ipOffsetWithPfx</t>
  </si>
  <si>
    <t>ipPfx</t>
  </si>
  <si>
    <t>ipChecked</t>
  </si>
  <si>
    <t>ipPfxChecked</t>
  </si>
  <si>
    <r>
      <rPr>
        <sz val="12"/>
        <color theme="1"/>
        <rFont val="Calibri"/>
        <family val="2"/>
      </rPr>
      <t xml:space="preserve">© 2013 - 2025 </t>
    </r>
    <r>
      <rPr>
        <sz val="12"/>
        <color theme="1"/>
        <rFont val="Calibri"/>
        <family val="2"/>
        <scheme val="minor"/>
      </rPr>
      <t>Nicolas Grison</t>
    </r>
  </si>
  <si>
    <t>Excel 2011+ for Mac</t>
  </si>
  <si>
    <t>Excel 2010+ for Windows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</si>
</sst>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6"/>
      <color indexed="8"/>
      <name val="Calibri"/>
      <family val="2"/>
    </font>
    <font>
      <b/>
      <sz val="12"/>
      <color indexed="8"/>
      <name val="Calibri"/>
      <family val="2"/>
    </font>
    <font>
      <sz val="12"/>
      <color indexed="8"/>
      <name val="Calibri"/>
      <family val="2"/>
    </font>
    <font>
      <i/>
      <sz val="12"/>
      <color theme="1"/>
      <name val="Calibri"/>
      <family val="2"/>
      <scheme val="minor"/>
    </font>
    <font>
      <sz val="12"/>
      <color theme="1"/>
      <name val="Lucida Console"/>
      <family val="3"/>
    </font>
    <font>
      <sz val="12"/>
      <color theme="9" tint="-0.249977111117893"/>
      <name val="Lucida Console"/>
      <family val="3"/>
    </font>
    <font>
      <sz val="12"/>
      <color rgb="FF0000FF"/>
      <name val="Lucida Console"/>
      <family val="3"/>
    </font>
    <font>
      <sz val="12"/>
      <color rgb="FF000000"/>
      <name val="Calibri"/>
      <family val="2"/>
      <scheme val="minor"/>
    </font>
    <font>
      <b/>
      <sz val="24"/>
      <color theme="1"/>
      <name val="Calibri"/>
      <family val="2"/>
      <scheme val="minor"/>
    </font>
    <font>
      <sz val="12"/>
      <color theme="1"/>
      <name val="Calibri"/>
      <family val="2"/>
    </font>
    <font>
      <i/>
      <sz val="12"/>
      <color theme="1"/>
      <name val="Lucida Console"/>
      <family val="3"/>
    </font>
    <font>
      <b/>
      <i/>
      <sz val="12"/>
      <color theme="1"/>
      <name val="Calibri"/>
      <family val="2"/>
      <scheme val="minor"/>
    </font>
    <font>
      <i/>
      <sz val="12"/>
      <color rgb="FFFF0000"/>
      <name val="Calibri"/>
      <family val="2"/>
      <scheme val="minor"/>
    </font>
    <font>
      <i/>
      <sz val="12"/>
      <name val="Calibri"/>
      <family val="2"/>
      <scheme val="minor"/>
    </font>
    <font>
      <sz val="12"/>
      <name val="Calibri"/>
      <family val="2"/>
      <scheme val="minor"/>
    </font>
    <font>
      <i/>
      <sz val="10"/>
      <color theme="1"/>
      <name val="Calibri"/>
      <family val="2"/>
      <scheme val="minor"/>
    </font>
    <font>
      <i/>
      <sz val="12"/>
      <name val="Lucida Console"/>
      <family val="3"/>
    </font>
    <font>
      <sz val="12"/>
      <name val="Lucida Console"/>
      <family val="3"/>
    </font>
    <font>
      <i/>
      <sz val="12"/>
      <color indexed="8"/>
      <name val="Calibri"/>
      <family val="2"/>
    </font>
    <font>
      <sz val="11"/>
      <color rgb="FF000000"/>
      <name val="Menlo"/>
      <family val="2"/>
    </font>
    <font>
      <sz val="12"/>
      <color rgb="FF000000"/>
      <name val="Aptos Narrow"/>
      <family val="2"/>
    </font>
  </fonts>
  <fills count="4">
    <fill>
      <patternFill patternType="none"/>
    </fill>
    <fill>
      <patternFill patternType="gray125"/>
    </fill>
    <fill>
      <patternFill patternType="solid">
        <fgColor theme="0" tint="-0.249977111117893"/>
        <bgColor indexed="64"/>
      </patternFill>
    </fill>
    <fill>
      <patternFill patternType="solid">
        <fgColor theme="4" tint="0.39997558519241921"/>
        <bgColor indexed="64"/>
      </patternFill>
    </fill>
  </fills>
  <borders count="42">
    <border>
      <left/>
      <right/>
      <top/>
      <bottom/>
      <diagonal/>
    </border>
    <border>
      <left style="thin">
        <color auto="1"/>
      </left>
      <right style="thin">
        <color auto="1"/>
      </right>
      <top style="hair">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hair">
        <color auto="1"/>
      </top>
      <bottom style="hair">
        <color auto="1"/>
      </bottom>
      <diagonal/>
    </border>
    <border>
      <left style="thin">
        <color auto="1"/>
      </left>
      <right style="thin">
        <color auto="1"/>
      </right>
      <top/>
      <bottom/>
      <diagonal/>
    </border>
    <border>
      <left style="thin">
        <color auto="1"/>
      </left>
      <right style="thin">
        <color auto="1"/>
      </right>
      <top style="thin">
        <color auto="1"/>
      </top>
      <bottom style="hair">
        <color auto="1"/>
      </bottom>
      <diagonal/>
    </border>
    <border>
      <left style="thin">
        <color auto="1"/>
      </left>
      <right style="thin">
        <color auto="1"/>
      </right>
      <top style="thin">
        <color auto="1"/>
      </top>
      <bottom/>
      <diagonal/>
    </border>
    <border>
      <left style="hair">
        <color auto="1"/>
      </left>
      <right style="thin">
        <color auto="1"/>
      </right>
      <top style="hair">
        <color auto="1"/>
      </top>
      <bottom style="thin">
        <color auto="1"/>
      </bottom>
      <diagonal/>
    </border>
    <border>
      <left/>
      <right/>
      <top style="hair">
        <color auto="1"/>
      </top>
      <bottom style="thin">
        <color auto="1"/>
      </bottom>
      <diagonal/>
    </border>
    <border>
      <left style="hair">
        <color auto="1"/>
      </left>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thin">
        <color auto="1"/>
      </top>
      <bottom style="hair">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hair">
        <color auto="1"/>
      </left>
      <right/>
      <top style="thin">
        <color auto="1"/>
      </top>
      <bottom style="hair">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hair">
        <color auto="1"/>
      </top>
      <bottom style="hair">
        <color auto="1"/>
      </bottom>
      <diagonal/>
    </border>
    <border>
      <left style="thin">
        <color auto="1"/>
      </left>
      <right style="thin">
        <color auto="1"/>
      </right>
      <top/>
      <bottom style="hair">
        <color auto="1"/>
      </bottom>
      <diagonal/>
    </border>
  </borders>
  <cellStyleXfs count="1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62">
    <xf numFmtId="0" fontId="0" fillId="0" borderId="0" xfId="0"/>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center"/>
    </xf>
    <xf numFmtId="0" fontId="4" fillId="0" borderId="0" xfId="0" applyFont="1"/>
    <xf numFmtId="0" fontId="0" fillId="0" borderId="3" xfId="0" applyBorder="1" applyAlignment="1">
      <alignment horizontal="center"/>
    </xf>
    <xf numFmtId="0" fontId="0" fillId="0" borderId="3" xfId="0" applyBorder="1" applyAlignment="1">
      <alignment horizontal="center" vertical="center"/>
    </xf>
    <xf numFmtId="0" fontId="3" fillId="0" borderId="3" xfId="0" applyFont="1" applyBorder="1" applyAlignment="1">
      <alignment horizontal="center"/>
    </xf>
    <xf numFmtId="0" fontId="5" fillId="0" borderId="0" xfId="0" applyFont="1" applyAlignment="1">
      <alignment horizontal="left"/>
    </xf>
    <xf numFmtId="0" fontId="0" fillId="0" borderId="5" xfId="0" applyBorder="1" applyAlignment="1">
      <alignment horizontal="center"/>
    </xf>
    <xf numFmtId="0" fontId="0" fillId="0" borderId="5" xfId="0" applyBorder="1" applyAlignment="1">
      <alignment horizontal="center" vertical="center"/>
    </xf>
    <xf numFmtId="0" fontId="3" fillId="0" borderId="5" xfId="0" applyFont="1" applyBorder="1" applyAlignment="1">
      <alignment horizontal="center"/>
    </xf>
    <xf numFmtId="0" fontId="5"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3" fillId="0" borderId="0" xfId="0" applyFont="1"/>
    <xf numFmtId="0" fontId="0" fillId="0" borderId="0" xfId="0" applyAlignment="1">
      <alignment wrapText="1"/>
    </xf>
    <xf numFmtId="0" fontId="0" fillId="0" borderId="0" xfId="0" applyAlignment="1">
      <alignment vertical="center" wrapText="1"/>
    </xf>
    <xf numFmtId="0" fontId="3" fillId="0" borderId="0" xfId="0" applyFont="1" applyAlignment="1">
      <alignment horizontal="right" vertical="top" wrapText="1"/>
    </xf>
    <xf numFmtId="0" fontId="7" fillId="0" borderId="0" xfId="0" applyFont="1"/>
    <xf numFmtId="0" fontId="3" fillId="0" borderId="0" xfId="0" applyFont="1" applyAlignment="1">
      <alignment horizontal="right"/>
    </xf>
    <xf numFmtId="0" fontId="0" fillId="0" borderId="0" xfId="0" applyAlignment="1">
      <alignment horizontal="left"/>
    </xf>
    <xf numFmtId="0" fontId="11" fillId="0" borderId="7" xfId="0" applyFont="1" applyBorder="1" applyAlignment="1">
      <alignment vertical="center"/>
    </xf>
    <xf numFmtId="0" fontId="3" fillId="0" borderId="10" xfId="0" applyFont="1" applyBorder="1" applyAlignment="1">
      <alignment horizontal="center" vertical="center" wrapText="1"/>
    </xf>
    <xf numFmtId="0" fontId="11" fillId="0" borderId="11" xfId="0" applyFont="1" applyBorder="1" applyAlignment="1">
      <alignment vertical="center"/>
    </xf>
    <xf numFmtId="0" fontId="3" fillId="0" borderId="13" xfId="0" applyFont="1" applyBorder="1" applyAlignment="1">
      <alignment horizontal="center" vertical="center" wrapText="1"/>
    </xf>
    <xf numFmtId="0" fontId="0" fillId="0" borderId="11" xfId="0" applyBorder="1" applyAlignment="1">
      <alignment vertical="center"/>
    </xf>
    <xf numFmtId="0" fontId="0" fillId="0" borderId="11" xfId="0" applyBorder="1" applyAlignment="1">
      <alignment vertical="center" wrapText="1"/>
    </xf>
    <xf numFmtId="0" fontId="0" fillId="0" borderId="14" xfId="0" applyBorder="1" applyAlignment="1">
      <alignment vertical="center" wrapText="1"/>
    </xf>
    <xf numFmtId="0" fontId="3" fillId="0" borderId="16" xfId="0" applyFont="1" applyBorder="1" applyAlignment="1">
      <alignment horizontal="center" vertical="center" wrapText="1"/>
    </xf>
    <xf numFmtId="0" fontId="3" fillId="2" borderId="20" xfId="0" applyFont="1" applyFill="1" applyBorder="1" applyAlignment="1">
      <alignment horizontal="center" vertical="center" wrapText="1"/>
    </xf>
    <xf numFmtId="0" fontId="0" fillId="0" borderId="14" xfId="0" applyBorder="1" applyAlignment="1">
      <alignment vertical="center"/>
    </xf>
    <xf numFmtId="0" fontId="0" fillId="0" borderId="7" xfId="0" applyBorder="1" applyAlignment="1">
      <alignment vertical="center"/>
    </xf>
    <xf numFmtId="0" fontId="5" fillId="2" borderId="20" xfId="0" applyFont="1" applyFill="1" applyBorder="1" applyAlignment="1">
      <alignment horizontal="center" vertical="center"/>
    </xf>
    <xf numFmtId="0" fontId="5" fillId="2" borderId="20" xfId="0" applyFont="1" applyFill="1" applyBorder="1" applyAlignment="1">
      <alignment horizontal="center" vertical="center" wrapText="1"/>
    </xf>
    <xf numFmtId="0" fontId="0" fillId="0" borderId="0" xfId="0" applyAlignment="1">
      <alignment horizontal="left" wrapText="1"/>
    </xf>
    <xf numFmtId="0" fontId="0" fillId="0" borderId="2" xfId="0" applyBorder="1" applyAlignment="1">
      <alignment horizontal="center" vertical="center"/>
    </xf>
    <xf numFmtId="0" fontId="6" fillId="0" borderId="0" xfId="0" applyFont="1" applyAlignment="1">
      <alignment horizontal="left" wrapText="1"/>
    </xf>
    <xf numFmtId="49" fontId="0" fillId="0" borderId="5" xfId="0" quotePrefix="1" applyNumberFormat="1" applyBorder="1" applyAlignment="1">
      <alignment horizontal="center" vertical="center"/>
    </xf>
    <xf numFmtId="49" fontId="0" fillId="0" borderId="3" xfId="0" quotePrefix="1" applyNumberFormat="1" applyBorder="1" applyAlignment="1">
      <alignment horizontal="center" vertical="center"/>
    </xf>
    <xf numFmtId="0" fontId="1" fillId="0" borderId="0" xfId="11" applyAlignment="1">
      <alignment horizontal="left"/>
    </xf>
    <xf numFmtId="0" fontId="3" fillId="0" borderId="0" xfId="0" applyFont="1" applyAlignment="1">
      <alignment horizontal="left"/>
    </xf>
    <xf numFmtId="0" fontId="0" fillId="0" borderId="0" xfId="0" applyAlignment="1">
      <alignment horizontal="right" vertical="top"/>
    </xf>
    <xf numFmtId="0" fontId="3" fillId="0" borderId="0" xfId="0" applyFont="1" applyAlignment="1">
      <alignment horizontal="right" vertical="top"/>
    </xf>
    <xf numFmtId="0" fontId="0" fillId="0" borderId="0" xfId="0" applyAlignment="1">
      <alignment horizontal="left" indent="1"/>
    </xf>
    <xf numFmtId="0" fontId="3" fillId="0" borderId="0" xfId="0" applyFont="1" applyAlignment="1">
      <alignment horizontal="left" wrapText="1"/>
    </xf>
    <xf numFmtId="0" fontId="0" fillId="0" borderId="0" xfId="0" applyAlignment="1">
      <alignment vertical="top" wrapText="1"/>
    </xf>
    <xf numFmtId="49" fontId="0" fillId="0" borderId="1" xfId="0" quotePrefix="1" applyNumberFormat="1" applyBorder="1" applyAlignment="1">
      <alignment horizontal="center" vertical="center"/>
    </xf>
    <xf numFmtId="0" fontId="3" fillId="0" borderId="0" xfId="0" applyFont="1" applyAlignment="1">
      <alignment horizontal="center"/>
    </xf>
    <xf numFmtId="0" fontId="0" fillId="0" borderId="0" xfId="0" applyAlignment="1">
      <alignment horizontal="center" vertical="center"/>
    </xf>
    <xf numFmtId="0" fontId="0" fillId="0" borderId="0" xfId="0" applyAlignment="1">
      <alignment horizontal="center"/>
    </xf>
    <xf numFmtId="0" fontId="3" fillId="0" borderId="2" xfId="0" applyFont="1" applyBorder="1" applyAlignment="1">
      <alignment horizontal="center"/>
    </xf>
    <xf numFmtId="49" fontId="0" fillId="0" borderId="2" xfId="0" quotePrefix="1" applyNumberFormat="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xf>
    <xf numFmtId="0" fontId="0" fillId="0" borderId="1" xfId="0" applyBorder="1" applyAlignment="1">
      <alignment horizontal="center" vertical="center" wrapText="1"/>
    </xf>
    <xf numFmtId="0" fontId="16" fillId="0" borderId="0" xfId="0" applyFont="1"/>
    <xf numFmtId="0" fontId="8" fillId="0" borderId="0" xfId="0" applyFont="1"/>
    <xf numFmtId="20" fontId="0" fillId="0" borderId="0" xfId="0" applyNumberFormat="1"/>
    <xf numFmtId="0" fontId="5" fillId="0" borderId="28" xfId="0" applyFont="1" applyBorder="1" applyAlignment="1">
      <alignment horizontal="center" vertical="center"/>
    </xf>
    <xf numFmtId="0" fontId="5" fillId="0" borderId="27" xfId="0" applyFont="1" applyBorder="1" applyAlignment="1">
      <alignment horizontal="center" vertical="center"/>
    </xf>
    <xf numFmtId="0" fontId="3" fillId="0" borderId="28" xfId="0" applyFont="1" applyBorder="1" applyAlignment="1">
      <alignment horizontal="center"/>
    </xf>
    <xf numFmtId="0" fontId="0" fillId="0" borderId="20" xfId="0" applyBorder="1" applyAlignment="1">
      <alignment horizontal="center" vertical="center"/>
    </xf>
    <xf numFmtId="0" fontId="0" fillId="0" borderId="20" xfId="0" applyBorder="1" applyAlignment="1">
      <alignment horizontal="center" vertical="center" wrapText="1"/>
    </xf>
    <xf numFmtId="0" fontId="0" fillId="0" borderId="27" xfId="0" applyBorder="1" applyAlignment="1">
      <alignment horizontal="center" vertical="center"/>
    </xf>
    <xf numFmtId="0" fontId="0" fillId="0" borderId="0" xfId="0" applyAlignment="1">
      <alignment horizontal="center" vertical="center" wrapText="1"/>
    </xf>
    <xf numFmtId="0" fontId="3" fillId="0" borderId="0" xfId="0" applyFont="1" applyAlignment="1">
      <alignment horizontal="center" vertical="center"/>
    </xf>
    <xf numFmtId="0" fontId="0" fillId="0" borderId="6" xfId="0" applyBorder="1" applyAlignment="1">
      <alignment horizontal="center"/>
    </xf>
    <xf numFmtId="0" fontId="0" fillId="0" borderId="4" xfId="0" applyBorder="1" applyAlignment="1">
      <alignment horizontal="center"/>
    </xf>
    <xf numFmtId="0" fontId="3" fillId="0" borderId="20" xfId="0" applyFont="1" applyBorder="1" applyAlignment="1">
      <alignment horizontal="center"/>
    </xf>
    <xf numFmtId="0" fontId="0" fillId="0" borderId="6" xfId="0" applyBorder="1"/>
    <xf numFmtId="0" fontId="0" fillId="0" borderId="4" xfId="0" applyBorder="1"/>
    <xf numFmtId="0" fontId="0" fillId="0" borderId="2" xfId="0" applyBorder="1"/>
    <xf numFmtId="0" fontId="5" fillId="2" borderId="19" xfId="0" applyFont="1" applyFill="1" applyBorder="1" applyAlignment="1">
      <alignment horizontal="center" vertical="center" wrapText="1"/>
    </xf>
    <xf numFmtId="0" fontId="3" fillId="0" borderId="19" xfId="0" applyFont="1" applyBorder="1" applyAlignment="1">
      <alignment horizontal="center" vertical="center" wrapText="1"/>
    </xf>
    <xf numFmtId="0" fontId="0" fillId="0" borderId="39" xfId="0" applyBorder="1" applyAlignment="1">
      <alignment vertical="center"/>
    </xf>
    <xf numFmtId="49" fontId="0" fillId="0" borderId="20" xfId="0" quotePrefix="1" applyNumberFormat="1" applyBorder="1" applyAlignment="1">
      <alignment horizontal="center" vertical="center"/>
    </xf>
    <xf numFmtId="0" fontId="0" fillId="0" borderId="20" xfId="0" applyBorder="1" applyAlignment="1">
      <alignment horizontal="center"/>
    </xf>
    <xf numFmtId="49" fontId="0" fillId="0" borderId="0" xfId="0" quotePrefix="1" applyNumberFormat="1" applyAlignment="1">
      <alignment horizontal="center" vertical="center"/>
    </xf>
    <xf numFmtId="0" fontId="3" fillId="0" borderId="20" xfId="0" applyFont="1" applyBorder="1" applyAlignment="1">
      <alignment horizontal="center" vertical="center" wrapText="1"/>
    </xf>
    <xf numFmtId="0" fontId="0" fillId="0" borderId="41" xfId="0" applyBorder="1" applyAlignment="1">
      <alignment horizontal="center" vertical="center"/>
    </xf>
    <xf numFmtId="0" fontId="0" fillId="0" borderId="20" xfId="0" applyBorder="1" applyAlignment="1">
      <alignment vertical="center" wrapText="1"/>
    </xf>
    <xf numFmtId="0" fontId="0" fillId="0" borderId="19" xfId="0" applyBorder="1" applyAlignment="1">
      <alignment vertical="center" wrapText="1"/>
    </xf>
    <xf numFmtId="0" fontId="3" fillId="3" borderId="20" xfId="0" applyFont="1" applyFill="1" applyBorder="1" applyAlignment="1">
      <alignment horizontal="center" vertical="center" wrapText="1"/>
    </xf>
    <xf numFmtId="0" fontId="3" fillId="3" borderId="17" xfId="0" applyFont="1" applyFill="1" applyBorder="1" applyAlignment="1">
      <alignment vertical="center" wrapText="1"/>
    </xf>
    <xf numFmtId="0" fontId="3" fillId="3" borderId="20" xfId="0" applyFont="1" applyFill="1" applyBorder="1" applyAlignment="1">
      <alignment vertical="center" wrapText="1"/>
    </xf>
    <xf numFmtId="0" fontId="23" fillId="0" borderId="0" xfId="0" applyFont="1"/>
    <xf numFmtId="0" fontId="8" fillId="0" borderId="0" xfId="0" applyFont="1" applyAlignment="1">
      <alignment horizontal="left"/>
    </xf>
    <xf numFmtId="0" fontId="24" fillId="0" borderId="0" xfId="0" applyFont="1"/>
    <xf numFmtId="0" fontId="12" fillId="0" borderId="0" xfId="0" applyFont="1" applyAlignment="1">
      <alignment horizontal="left"/>
    </xf>
    <xf numFmtId="0" fontId="0" fillId="0" borderId="0" xfId="0" applyAlignment="1">
      <alignment horizontal="left"/>
    </xf>
    <xf numFmtId="0" fontId="3" fillId="0" borderId="0" xfId="0" applyFont="1" applyAlignment="1">
      <alignment horizontal="left"/>
    </xf>
    <xf numFmtId="0" fontId="0" fillId="0" borderId="12" xfId="0" applyBorder="1" applyAlignment="1">
      <alignment horizontal="left" vertical="center" wrapText="1"/>
    </xf>
    <xf numFmtId="0" fontId="0" fillId="0" borderId="9" xfId="0" applyBorder="1" applyAlignment="1">
      <alignment horizontal="left" vertical="center" wrapText="1"/>
    </xf>
    <xf numFmtId="0" fontId="0" fillId="0" borderId="8" xfId="0" applyBorder="1" applyAlignment="1">
      <alignment horizontal="left" vertical="center" wrapText="1"/>
    </xf>
    <xf numFmtId="0" fontId="3" fillId="3" borderId="19" xfId="0" applyFont="1" applyFill="1" applyBorder="1" applyAlignment="1">
      <alignment horizontal="left" vertical="center" wrapText="1"/>
    </xf>
    <xf numFmtId="0" fontId="3" fillId="3" borderId="18" xfId="0" applyFont="1" applyFill="1" applyBorder="1" applyAlignment="1">
      <alignment horizontal="left" vertical="center" wrapText="1"/>
    </xf>
    <xf numFmtId="0" fontId="0" fillId="0" borderId="15" xfId="0" applyBorder="1" applyAlignment="1">
      <alignment horizontal="left" vertical="center" wrapText="1"/>
    </xf>
    <xf numFmtId="0" fontId="8" fillId="0" borderId="0" xfId="0" applyFont="1" applyAlignment="1">
      <alignment horizontal="left"/>
    </xf>
    <xf numFmtId="0" fontId="0" fillId="0" borderId="0" xfId="0" applyAlignment="1">
      <alignment horizontal="left" wrapText="1"/>
    </xf>
    <xf numFmtId="0" fontId="0" fillId="0" borderId="0" xfId="0" applyAlignment="1">
      <alignment horizontal="left" vertical="top" wrapText="1"/>
    </xf>
    <xf numFmtId="0" fontId="0" fillId="0" borderId="5" xfId="0" applyBorder="1" applyAlignment="1">
      <alignment horizontal="center" vertical="center"/>
    </xf>
    <xf numFmtId="0" fontId="0" fillId="0" borderId="3" xfId="0" applyBorder="1" applyAlignment="1">
      <alignment horizontal="center" vertical="center"/>
    </xf>
    <xf numFmtId="0" fontId="0" fillId="0" borderId="6"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7" fillId="0" borderId="0" xfId="0" applyFont="1" applyAlignment="1">
      <alignment horizontal="left" wrapText="1"/>
    </xf>
    <xf numFmtId="0" fontId="6" fillId="0" borderId="0" xfId="0" applyFont="1" applyAlignment="1">
      <alignment horizontal="left" wrapText="1"/>
    </xf>
    <xf numFmtId="49" fontId="0" fillId="0" borderId="5" xfId="0" quotePrefix="1" applyNumberFormat="1" applyBorder="1" applyAlignment="1">
      <alignment horizontal="center" vertical="center"/>
    </xf>
    <xf numFmtId="49" fontId="0" fillId="0" borderId="3" xfId="0" quotePrefix="1" applyNumberFormat="1" applyBorder="1" applyAlignment="1">
      <alignment horizontal="center" vertical="center"/>
    </xf>
    <xf numFmtId="0" fontId="0" fillId="0" borderId="21" xfId="0" applyBorder="1" applyAlignment="1">
      <alignment horizontal="left" vertical="center" wrapText="1"/>
    </xf>
    <xf numFmtId="49" fontId="0" fillId="0" borderId="4" xfId="0" quotePrefix="1" applyNumberFormat="1" applyBorder="1" applyAlignment="1">
      <alignment horizontal="center" vertical="center"/>
    </xf>
    <xf numFmtId="0" fontId="0" fillId="0" borderId="4" xfId="0" applyBorder="1" applyAlignment="1">
      <alignment horizontal="center" vertical="center" wrapText="1"/>
    </xf>
    <xf numFmtId="0" fontId="3" fillId="0" borderId="6"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4" xfId="0" applyBorder="1" applyAlignment="1">
      <alignment horizontal="center" vertical="center"/>
    </xf>
    <xf numFmtId="0" fontId="0" fillId="0" borderId="8" xfId="0" applyBorder="1" applyAlignment="1">
      <alignment horizontal="center" vertical="center"/>
    </xf>
    <xf numFmtId="0" fontId="0" fillId="0" borderId="35" xfId="0" applyBorder="1" applyAlignment="1">
      <alignment horizontal="center" vertical="center"/>
    </xf>
    <xf numFmtId="0" fontId="0" fillId="0" borderId="5" xfId="0" applyBorder="1" applyAlignment="1">
      <alignment horizontal="center" vertical="center" wrapText="1"/>
    </xf>
    <xf numFmtId="0" fontId="0" fillId="0" borderId="3" xfId="0" applyBorder="1" applyAlignment="1">
      <alignment horizontal="center" vertical="center" wrapText="1"/>
    </xf>
    <xf numFmtId="0" fontId="0" fillId="0" borderId="1" xfId="0" applyBorder="1" applyAlignment="1">
      <alignment horizontal="center" vertical="center" wrapText="1"/>
    </xf>
    <xf numFmtId="0" fontId="5" fillId="2" borderId="19"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18" xfId="0" applyFont="1" applyFill="1" applyBorder="1" applyAlignment="1">
      <alignment horizontal="center" vertical="center"/>
    </xf>
    <xf numFmtId="0" fontId="3" fillId="0" borderId="0" xfId="0" applyFont="1" applyAlignment="1">
      <alignment horizontal="left" wrapText="1"/>
    </xf>
    <xf numFmtId="0" fontId="5" fillId="0" borderId="0" xfId="0" applyFont="1" applyAlignment="1">
      <alignment horizontal="left" wrapText="1"/>
    </xf>
    <xf numFmtId="0" fontId="3" fillId="0" borderId="0" xfId="0" applyFont="1" applyAlignment="1">
      <alignment horizont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20" xfId="0" applyBorder="1" applyAlignment="1">
      <alignment horizontal="left" vertical="center"/>
    </xf>
    <xf numFmtId="0" fontId="0" fillId="0" borderId="19"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35" xfId="0" applyBorder="1" applyAlignment="1">
      <alignment horizontal="left" vertical="center" wrapText="1"/>
    </xf>
    <xf numFmtId="0" fontId="3" fillId="3" borderId="17" xfId="0" applyFont="1" applyFill="1" applyBorder="1" applyAlignment="1">
      <alignment horizontal="left" vertical="center" wrapText="1"/>
    </xf>
    <xf numFmtId="0" fontId="0" fillId="0" borderId="36"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19" fillId="0" borderId="0" xfId="0" applyFont="1" applyAlignment="1">
      <alignment horizontal="left" wrapText="1"/>
    </xf>
    <xf numFmtId="0" fontId="0" fillId="3" borderId="20" xfId="0" applyFill="1" applyBorder="1" applyAlignment="1">
      <alignment horizontal="left" vertical="center" wrapText="1"/>
    </xf>
    <xf numFmtId="0" fontId="0" fillId="0" borderId="20" xfId="0" applyBorder="1" applyAlignment="1">
      <alignment horizontal="left" vertical="center" wrapText="1"/>
    </xf>
    <xf numFmtId="0" fontId="5" fillId="2" borderId="19"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0" fillId="0" borderId="19" xfId="0" applyBorder="1" applyAlignment="1">
      <alignment horizontal="left" vertical="center" wrapText="1"/>
    </xf>
    <xf numFmtId="0" fontId="0" fillId="0" borderId="18" xfId="0" applyBorder="1" applyAlignment="1">
      <alignment horizontal="left" vertical="center" wrapText="1"/>
    </xf>
    <xf numFmtId="0" fontId="0" fillId="0" borderId="17" xfId="0" applyBorder="1" applyAlignment="1">
      <alignment horizontal="left" vertical="center" wrapText="1"/>
    </xf>
    <xf numFmtId="0" fontId="0" fillId="0" borderId="40" xfId="0"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7" fillId="0" borderId="0" xfId="0" applyFont="1" applyAlignment="1">
      <alignment horizontal="center" vertical="center" wrapText="1"/>
    </xf>
  </cellXfs>
  <cellStyles count="1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cellStyle name="Normal" xfId="0" builtinId="0"/>
  </cellStyles>
  <dxfs count="8">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06B830-F5C2-D146-BDE5-F9D155F2E3C2}" name="Table1" displayName="Table1" ref="A1:H34" totalsRowShown="0" headerRowDxfId="7" dataDxfId="6">
  <autoFilter ref="A1:H34" xr:uid="{2306B830-F5C2-D146-BDE5-F9D155F2E3C2}"/>
  <tableColumns count="8">
    <tableColumn id="1" xr3:uid="{75E198AB-70BF-7743-AE3F-DF7BFCB08059}" name="Prefix Length" dataDxfId="5"/>
    <tableColumn id="8" xr3:uid="{1027DFF3-69A4-0645-9152-2E8F189EEC8C}" name="Binary" dataDxfId="4">
      <calculatedColumnFormula>REPT("1",Table1[[#This Row],[Prefix Length]]) &amp; REPT("0",32-Table1[[#This Row],[Prefix Length]])</calculatedColumnFormula>
    </tableColumn>
    <tableColumn id="2" xr3:uid="{83B98B51-10FE-7B4C-A686-310E41D2EDEA}" name="Octet 1" dataDxfId="3">
      <calculatedColumnFormula>BIN2DEC(MID(Table1[[#This Row],[Binary]],1,8))</calculatedColumnFormula>
    </tableColumn>
    <tableColumn id="3" xr3:uid="{6607F6EF-3C5F-3243-857F-9E002676C1DC}" name="Octet 2" dataDxfId="2">
      <calculatedColumnFormula>BIN2DEC(MID(Table1[[#This Row],[Binary]],9,8))</calculatedColumnFormula>
    </tableColumn>
    <tableColumn id="4" xr3:uid="{9034D49D-FBE1-3449-BB11-D49615745963}" name="Octet 3" dataDxfId="1">
      <calculatedColumnFormula>BIN2DEC(MID(Table1[[#This Row],[Binary]],17,8))</calculatedColumnFormula>
    </tableColumn>
    <tableColumn id="5" xr3:uid="{5CD56A59-F77B-224B-8ACA-40BDF8360807}" name="Octet 4" dataDxfId="0">
      <calculatedColumnFormula>BIN2DEC(MID(Table1[[#This Row],[Binary]],25,8))</calculatedColumnFormula>
    </tableColumn>
    <tableColumn id="6" xr3:uid="{EC61A09D-430A-CB41-9805-8F92FECE49CD}" name="Mask">
      <calculatedColumnFormula>TEXT(C2,0)&amp;"."&amp;TEXT(D2,0)&amp;"."&amp;TEXT(E2,0)&amp;"."&amp;TEXT(F2,0)</calculatedColumnFormula>
    </tableColumn>
    <tableColumn id="7" xr3:uid="{781AA5DA-3DD0-A847-9658-F60735D56906}" name="Invert Mask">
      <calculatedColumnFormula>TEXT(255-$C2,0)&amp;"."&amp;TEXT(255-$D2,0)&amp;"."&amp;TEXT(255-$E2,0)&amp;"."&amp;TEXT(255-$F2,0)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roups.google.com/foru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2:G27"/>
  <sheetViews>
    <sheetView showGridLines="0" tabSelected="1" zoomScale="80" zoomScaleNormal="80" zoomScalePageLayoutView="90" workbookViewId="0"/>
  </sheetViews>
  <sheetFormatPr baseColWidth="10" defaultColWidth="11" defaultRowHeight="16" x14ac:dyDescent="0.2"/>
  <cols>
    <col min="1" max="1" width="2.83203125" customWidth="1"/>
    <col min="2" max="2" width="22" customWidth="1"/>
    <col min="3" max="3" width="76.83203125" customWidth="1"/>
    <col min="4" max="4" width="6.83203125" customWidth="1"/>
    <col min="5" max="5" width="7.1640625" bestFit="1" customWidth="1"/>
    <col min="6" max="6" width="41.83203125" customWidth="1"/>
    <col min="7" max="7" width="54.6640625" bestFit="1" customWidth="1"/>
    <col min="9" max="9" width="21" customWidth="1"/>
  </cols>
  <sheetData>
    <row r="2" spans="2:7" ht="31" x14ac:dyDescent="0.35">
      <c r="B2" s="88" t="s">
        <v>149</v>
      </c>
      <c r="C2" s="88"/>
      <c r="D2" s="88"/>
      <c r="E2" s="88"/>
      <c r="F2" s="88"/>
      <c r="G2" s="88"/>
    </row>
    <row r="3" spans="2:7" x14ac:dyDescent="0.2">
      <c r="B3" s="89" t="s">
        <v>688</v>
      </c>
      <c r="C3" s="89"/>
      <c r="D3" s="89"/>
      <c r="E3" s="89"/>
      <c r="F3" s="89"/>
      <c r="G3" s="89"/>
    </row>
    <row r="4" spans="2:7" x14ac:dyDescent="0.2">
      <c r="B4" s="20"/>
      <c r="C4" s="20"/>
      <c r="D4" s="20"/>
      <c r="E4" s="20"/>
      <c r="F4" s="20"/>
      <c r="G4" s="20"/>
    </row>
    <row r="5" spans="2:7" x14ac:dyDescent="0.2">
      <c r="B5" s="39" t="s">
        <v>77</v>
      </c>
      <c r="C5" s="20"/>
      <c r="D5" s="20"/>
      <c r="E5" s="20"/>
      <c r="F5" s="20"/>
      <c r="G5" s="20"/>
    </row>
    <row r="6" spans="2:7" x14ac:dyDescent="0.2">
      <c r="B6" s="20"/>
      <c r="C6" s="20"/>
      <c r="D6" s="20"/>
      <c r="E6" s="20"/>
      <c r="F6" s="20"/>
      <c r="G6" s="20"/>
    </row>
    <row r="7" spans="2:7" x14ac:dyDescent="0.2">
      <c r="B7" s="90" t="s">
        <v>78</v>
      </c>
      <c r="C7" s="90"/>
      <c r="D7" s="90"/>
      <c r="E7" s="90"/>
      <c r="F7" s="90"/>
      <c r="G7" s="90"/>
    </row>
    <row r="8" spans="2:7" x14ac:dyDescent="0.2">
      <c r="B8" s="40" t="s">
        <v>79</v>
      </c>
      <c r="C8" s="40"/>
      <c r="D8" s="40"/>
      <c r="E8" s="40"/>
      <c r="F8" s="40"/>
      <c r="G8" s="40"/>
    </row>
    <row r="9" spans="2:7" x14ac:dyDescent="0.2">
      <c r="B9" s="40"/>
      <c r="C9" s="40"/>
      <c r="D9" s="40"/>
      <c r="E9" s="40"/>
      <c r="F9" s="40"/>
      <c r="G9" s="40"/>
    </row>
    <row r="10" spans="2:7" x14ac:dyDescent="0.2">
      <c r="B10" s="19" t="s">
        <v>80</v>
      </c>
      <c r="C10" s="20" t="s">
        <v>689</v>
      </c>
      <c r="D10" s="40"/>
      <c r="E10" s="40"/>
      <c r="F10" s="40"/>
      <c r="G10" s="40"/>
    </row>
    <row r="11" spans="2:7" x14ac:dyDescent="0.2">
      <c r="B11" s="40"/>
      <c r="C11" s="20" t="s">
        <v>690</v>
      </c>
      <c r="D11" s="40"/>
      <c r="E11" s="40"/>
      <c r="F11" s="40"/>
      <c r="G11" s="40"/>
    </row>
    <row r="12" spans="2:7" x14ac:dyDescent="0.2">
      <c r="B12" s="40"/>
      <c r="C12" s="20"/>
      <c r="D12" s="40"/>
      <c r="E12" s="40"/>
      <c r="F12" s="40"/>
      <c r="G12" s="40"/>
    </row>
    <row r="13" spans="2:7" x14ac:dyDescent="0.2">
      <c r="B13" s="20"/>
      <c r="C13" s="18" t="s">
        <v>81</v>
      </c>
      <c r="D13" s="20"/>
      <c r="E13" s="20"/>
      <c r="F13" s="20"/>
      <c r="G13" s="20"/>
    </row>
    <row r="15" spans="2:7" ht="51" x14ac:dyDescent="0.2">
      <c r="B15" s="41" t="s">
        <v>82</v>
      </c>
      <c r="C15" s="15" t="s">
        <v>83</v>
      </c>
    </row>
    <row r="16" spans="2:7" ht="17" x14ac:dyDescent="0.2">
      <c r="B16" s="41" t="s">
        <v>84</v>
      </c>
      <c r="C16" s="15" t="s">
        <v>85</v>
      </c>
    </row>
    <row r="17" spans="2:3" ht="17" x14ac:dyDescent="0.2">
      <c r="B17" s="41" t="s">
        <v>86</v>
      </c>
      <c r="C17" s="15" t="s">
        <v>87</v>
      </c>
    </row>
    <row r="18" spans="2:3" ht="17" x14ac:dyDescent="0.2">
      <c r="B18" s="42" t="s">
        <v>90</v>
      </c>
      <c r="C18" s="15" t="s">
        <v>277</v>
      </c>
    </row>
    <row r="19" spans="2:3" ht="51" x14ac:dyDescent="0.2">
      <c r="B19" s="42" t="s">
        <v>88</v>
      </c>
      <c r="C19" s="15" t="s">
        <v>89</v>
      </c>
    </row>
    <row r="20" spans="2:3" ht="17" x14ac:dyDescent="0.2">
      <c r="B20" s="42" t="s">
        <v>91</v>
      </c>
      <c r="C20" s="15" t="s">
        <v>92</v>
      </c>
    </row>
    <row r="22" spans="2:3" x14ac:dyDescent="0.2">
      <c r="B22" s="19" t="s">
        <v>93</v>
      </c>
      <c r="C22" t="s">
        <v>94</v>
      </c>
    </row>
    <row r="23" spans="2:3" x14ac:dyDescent="0.2">
      <c r="C23" s="43" t="s">
        <v>95</v>
      </c>
    </row>
    <row r="24" spans="2:3" x14ac:dyDescent="0.2">
      <c r="C24" s="43" t="s">
        <v>96</v>
      </c>
    </row>
    <row r="25" spans="2:3" x14ac:dyDescent="0.2">
      <c r="C25" t="s">
        <v>97</v>
      </c>
    </row>
    <row r="27" spans="2:3" x14ac:dyDescent="0.2">
      <c r="B27" s="19" t="s">
        <v>98</v>
      </c>
      <c r="C27" t="s">
        <v>99</v>
      </c>
    </row>
  </sheetData>
  <mergeCells count="3">
    <mergeCell ref="B2:G2"/>
    <mergeCell ref="B3:G3"/>
    <mergeCell ref="B7:G7"/>
  </mergeCells>
  <hyperlinks>
    <hyperlink ref="B5" r:id="rId1" location="!forum/xlsipf" xr:uid="{00000000-0004-0000-0000-000000000000}"/>
  </hyperlinks>
  <pageMargins left="0.75" right="0.75" top="1" bottom="1" header="0.5" footer="0.5"/>
  <pageSetup paperSize="9" orientation="portrait" horizontalDpi="4294967292" verticalDpi="4294967292"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M45"/>
  <sheetViews>
    <sheetView showGridLines="0" zoomScale="120" zoomScaleNormal="120" zoomScalePageLayoutView="90" workbookViewId="0">
      <selection activeCell="B3" sqref="B3:G3"/>
    </sheetView>
  </sheetViews>
  <sheetFormatPr baseColWidth="10" defaultColWidth="11" defaultRowHeight="16" x14ac:dyDescent="0.2"/>
  <cols>
    <col min="1" max="1" width="2.83203125" customWidth="1"/>
    <col min="2" max="2" width="14.1640625" customWidth="1"/>
    <col min="3" max="3" width="29.6640625" customWidth="1"/>
    <col min="4" max="4" width="6.83203125" customWidth="1"/>
    <col min="5" max="5" width="7.1640625" bestFit="1" customWidth="1"/>
    <col min="6" max="6" width="41.83203125" customWidth="1"/>
    <col min="7" max="7" width="54.6640625" bestFit="1" customWidth="1"/>
    <col min="9" max="9" width="21" customWidth="1"/>
  </cols>
  <sheetData>
    <row r="2" spans="2:9" ht="31" x14ac:dyDescent="0.35">
      <c r="B2" s="88" t="s">
        <v>56</v>
      </c>
      <c r="C2" s="88"/>
      <c r="D2" s="88"/>
      <c r="E2" s="88"/>
      <c r="F2" s="88"/>
      <c r="G2" s="88"/>
    </row>
    <row r="3" spans="2:9" x14ac:dyDescent="0.2">
      <c r="B3" s="89" t="str">
        <f>Introduction!B3</f>
        <v>© 2013 - 2025 Nicolas Grison</v>
      </c>
      <c r="C3" s="89"/>
      <c r="D3" s="89"/>
      <c r="E3" s="89"/>
      <c r="F3" s="89"/>
      <c r="G3" s="89"/>
    </row>
    <row r="4" spans="2:9" x14ac:dyDescent="0.2">
      <c r="B4" s="20"/>
      <c r="C4" s="20"/>
      <c r="D4" s="20"/>
      <c r="E4" s="20"/>
      <c r="F4" s="20"/>
      <c r="G4" s="20"/>
    </row>
    <row r="5" spans="2:9" x14ac:dyDescent="0.2">
      <c r="B5" s="89" t="s">
        <v>55</v>
      </c>
      <c r="C5" s="89"/>
      <c r="D5" s="89"/>
      <c r="E5" s="89"/>
      <c r="F5" s="89"/>
      <c r="G5" s="89"/>
    </row>
    <row r="6" spans="2:9" x14ac:dyDescent="0.2">
      <c r="B6" s="20"/>
      <c r="C6" s="20"/>
      <c r="D6" s="20"/>
      <c r="E6" s="20"/>
      <c r="F6" s="20"/>
      <c r="G6" s="20"/>
    </row>
    <row r="7" spans="2:9" ht="17" x14ac:dyDescent="0.2">
      <c r="B7" s="82" t="s">
        <v>27</v>
      </c>
      <c r="C7" s="94" t="s">
        <v>54</v>
      </c>
      <c r="D7" s="95"/>
      <c r="E7" s="95"/>
      <c r="F7" s="95"/>
      <c r="G7" s="83" t="s">
        <v>53</v>
      </c>
      <c r="H7" s="15"/>
      <c r="I7" s="15"/>
    </row>
    <row r="8" spans="2:9" ht="15" customHeight="1" x14ac:dyDescent="0.2">
      <c r="B8" s="28" t="s">
        <v>5</v>
      </c>
      <c r="C8" s="96" t="s">
        <v>52</v>
      </c>
      <c r="D8" s="96"/>
      <c r="E8" s="96"/>
      <c r="F8" s="96"/>
      <c r="G8" s="27" t="s">
        <v>51</v>
      </c>
      <c r="H8" s="15"/>
      <c r="I8" s="15"/>
    </row>
    <row r="9" spans="2:9" ht="15" customHeight="1" x14ac:dyDescent="0.2">
      <c r="B9" s="24" t="s">
        <v>19</v>
      </c>
      <c r="C9" s="91" t="s">
        <v>50</v>
      </c>
      <c r="D9" s="91"/>
      <c r="E9" s="91"/>
      <c r="F9" s="91"/>
      <c r="G9" s="26"/>
      <c r="H9" s="15"/>
      <c r="I9" s="15"/>
    </row>
    <row r="10" spans="2:9" ht="15" customHeight="1" x14ac:dyDescent="0.2">
      <c r="B10" s="24" t="s">
        <v>18</v>
      </c>
      <c r="C10" s="91" t="s">
        <v>49</v>
      </c>
      <c r="D10" s="91"/>
      <c r="E10" s="91"/>
      <c r="F10" s="91"/>
      <c r="G10" s="26"/>
      <c r="H10" s="15"/>
      <c r="I10" s="15"/>
    </row>
    <row r="11" spans="2:9" ht="30" customHeight="1" x14ac:dyDescent="0.2">
      <c r="B11" s="24" t="s">
        <v>17</v>
      </c>
      <c r="C11" s="91" t="s">
        <v>48</v>
      </c>
      <c r="D11" s="91"/>
      <c r="E11" s="91"/>
      <c r="F11" s="91"/>
      <c r="G11" s="26" t="s">
        <v>47</v>
      </c>
      <c r="H11" s="15"/>
      <c r="I11" s="15"/>
    </row>
    <row r="12" spans="2:9" ht="15" customHeight="1" x14ac:dyDescent="0.2">
      <c r="B12" s="24" t="s">
        <v>16</v>
      </c>
      <c r="C12" s="91" t="s">
        <v>46</v>
      </c>
      <c r="D12" s="91"/>
      <c r="E12" s="91"/>
      <c r="F12" s="91"/>
      <c r="G12" s="25" t="s">
        <v>45</v>
      </c>
      <c r="H12" s="15"/>
      <c r="I12" s="15"/>
    </row>
    <row r="13" spans="2:9" ht="15" customHeight="1" x14ac:dyDescent="0.2">
      <c r="B13" s="24" t="s">
        <v>15</v>
      </c>
      <c r="C13" s="91" t="s">
        <v>44</v>
      </c>
      <c r="D13" s="91"/>
      <c r="E13" s="91"/>
      <c r="F13" s="91"/>
      <c r="G13" s="25" t="s">
        <v>43</v>
      </c>
      <c r="H13" s="15"/>
      <c r="I13" s="15"/>
    </row>
    <row r="14" spans="2:9" ht="45" customHeight="1" x14ac:dyDescent="0.2">
      <c r="B14" s="24" t="s">
        <v>14</v>
      </c>
      <c r="C14" s="91" t="s">
        <v>42</v>
      </c>
      <c r="D14" s="91"/>
      <c r="E14" s="91"/>
      <c r="F14" s="91"/>
      <c r="G14" s="23" t="s">
        <v>41</v>
      </c>
      <c r="H14" s="15"/>
      <c r="I14" s="15"/>
    </row>
    <row r="15" spans="2:9" ht="15.75" customHeight="1" x14ac:dyDescent="0.2">
      <c r="B15" s="22" t="s">
        <v>11</v>
      </c>
      <c r="C15" s="92" t="s">
        <v>40</v>
      </c>
      <c r="D15" s="93"/>
      <c r="E15" s="93"/>
      <c r="F15" s="93"/>
      <c r="G15" s="21" t="s">
        <v>39</v>
      </c>
      <c r="H15" s="15"/>
      <c r="I15" s="15"/>
    </row>
    <row r="16" spans="2:9" x14ac:dyDescent="0.2">
      <c r="B16" s="20"/>
      <c r="C16" s="20"/>
      <c r="D16" s="20"/>
      <c r="E16" s="20"/>
      <c r="F16" s="20"/>
      <c r="G16" s="20"/>
    </row>
    <row r="17" spans="2:9" x14ac:dyDescent="0.2">
      <c r="B17" s="19" t="s">
        <v>38</v>
      </c>
      <c r="C17" t="s">
        <v>37</v>
      </c>
    </row>
    <row r="18" spans="2:9" x14ac:dyDescent="0.2">
      <c r="C18" s="97" t="s">
        <v>36</v>
      </c>
      <c r="D18" s="97"/>
      <c r="E18" s="97"/>
      <c r="F18" s="97"/>
      <c r="G18" s="97"/>
    </row>
    <row r="19" spans="2:9" x14ac:dyDescent="0.2">
      <c r="B19" s="19"/>
      <c r="C19" s="105" t="s">
        <v>35</v>
      </c>
      <c r="D19" s="105"/>
      <c r="E19" s="105"/>
      <c r="F19" s="105"/>
      <c r="G19" s="105"/>
    </row>
    <row r="20" spans="2:9" x14ac:dyDescent="0.2">
      <c r="B20" s="19"/>
      <c r="C20" s="105" t="s">
        <v>34</v>
      </c>
      <c r="D20" s="105"/>
      <c r="E20" s="105"/>
      <c r="F20" s="105"/>
      <c r="G20" s="105"/>
    </row>
    <row r="21" spans="2:9" x14ac:dyDescent="0.2">
      <c r="B21" s="19"/>
      <c r="C21" s="18"/>
      <c r="D21" s="18"/>
    </row>
    <row r="22" spans="2:9" ht="30" customHeight="1" x14ac:dyDescent="0.2">
      <c r="B22" s="17" t="s">
        <v>33</v>
      </c>
      <c r="C22" s="99" t="s">
        <v>32</v>
      </c>
      <c r="D22" s="99"/>
      <c r="E22" s="99"/>
      <c r="F22" s="99"/>
      <c r="G22" s="99"/>
    </row>
    <row r="23" spans="2:9" ht="224" customHeight="1" x14ac:dyDescent="0.2">
      <c r="C23" s="98" t="s">
        <v>31</v>
      </c>
      <c r="D23" s="98"/>
      <c r="E23" s="98"/>
      <c r="F23" s="98"/>
      <c r="G23" s="98"/>
    </row>
    <row r="24" spans="2:9" ht="79.5" customHeight="1" x14ac:dyDescent="0.2">
      <c r="C24" s="98" t="s">
        <v>30</v>
      </c>
      <c r="D24" s="98"/>
      <c r="E24" s="98"/>
      <c r="F24" s="98"/>
      <c r="G24" s="98"/>
      <c r="H24" s="16"/>
    </row>
    <row r="25" spans="2:9" x14ac:dyDescent="0.2">
      <c r="C25" s="106" t="s">
        <v>29</v>
      </c>
      <c r="D25" s="106"/>
      <c r="E25" s="98"/>
      <c r="F25" s="98"/>
      <c r="G25" s="98"/>
      <c r="H25" s="15"/>
      <c r="I25" s="15"/>
    </row>
    <row r="27" spans="2:9" x14ac:dyDescent="0.2">
      <c r="B27" s="14" t="s">
        <v>28</v>
      </c>
    </row>
    <row r="29" spans="2:9" ht="34" x14ac:dyDescent="0.2">
      <c r="B29" s="12" t="s">
        <v>27</v>
      </c>
      <c r="C29" s="12" t="s">
        <v>26</v>
      </c>
      <c r="D29" s="12" t="s">
        <v>25</v>
      </c>
      <c r="E29" s="13" t="s">
        <v>24</v>
      </c>
      <c r="F29" s="12" t="s">
        <v>2</v>
      </c>
      <c r="G29" s="12" t="s">
        <v>23</v>
      </c>
      <c r="H29" s="8"/>
    </row>
    <row r="30" spans="2:9" ht="15" customHeight="1" x14ac:dyDescent="0.2">
      <c r="B30" s="11" t="s">
        <v>5</v>
      </c>
      <c r="C30" s="102" t="s">
        <v>22</v>
      </c>
      <c r="D30" s="10" t="s">
        <v>13</v>
      </c>
      <c r="E30" s="100">
        <v>2</v>
      </c>
      <c r="F30" s="107" t="s">
        <v>150</v>
      </c>
      <c r="G30" s="9" t="str">
        <f>ipAddress($C$30,$E$30,$F$30)</f>
        <v>198.51.100.15/24</v>
      </c>
      <c r="H30" s="8"/>
    </row>
    <row r="31" spans="2:9" ht="15" customHeight="1" x14ac:dyDescent="0.2">
      <c r="B31" s="7" t="s">
        <v>19</v>
      </c>
      <c r="C31" s="103"/>
      <c r="D31" s="6">
        <v>3</v>
      </c>
      <c r="E31" s="101"/>
      <c r="F31" s="108"/>
      <c r="G31" s="5" t="str">
        <f>ipHostX($C$30,$D$31,$E$30,$F$30)</f>
        <v>198.51.100.4/24</v>
      </c>
      <c r="H31" s="8"/>
    </row>
    <row r="32" spans="2:9" ht="15" customHeight="1" x14ac:dyDescent="0.2">
      <c r="B32" s="7" t="s">
        <v>18</v>
      </c>
      <c r="C32" s="103"/>
      <c r="D32" s="6">
        <v>3</v>
      </c>
      <c r="E32" s="101"/>
      <c r="F32" s="108"/>
      <c r="G32" s="5" t="str">
        <f>ipHostY($C$30,$D$32,$E$30,$F$30)</f>
        <v>198.51.100.253/24</v>
      </c>
      <c r="H32" s="8"/>
    </row>
    <row r="33" spans="2:13" ht="15" customHeight="1" x14ac:dyDescent="0.25">
      <c r="B33" s="7" t="s">
        <v>17</v>
      </c>
      <c r="C33" s="103"/>
      <c r="D33" s="6" t="s">
        <v>13</v>
      </c>
      <c r="E33" s="101"/>
      <c r="F33" s="108"/>
      <c r="G33" s="5" t="str">
        <f>ipHostFirst($C$30,$E$30,$F$30)</f>
        <v>198.51.100.2/24</v>
      </c>
      <c r="I33" s="4"/>
      <c r="J33" s="4"/>
      <c r="K33" s="4"/>
      <c r="L33" s="4"/>
      <c r="M33" s="4"/>
    </row>
    <row r="34" spans="2:13" ht="15" customHeight="1" x14ac:dyDescent="0.2">
      <c r="B34" s="7" t="s">
        <v>16</v>
      </c>
      <c r="C34" s="103"/>
      <c r="D34" s="6" t="s">
        <v>13</v>
      </c>
      <c r="E34" s="101"/>
      <c r="F34" s="108"/>
      <c r="G34" s="5" t="str">
        <f>ipHostPrev($C$30,$E$30,$F$30)</f>
        <v>198.51.100.14/24</v>
      </c>
    </row>
    <row r="35" spans="2:13" ht="15" customHeight="1" x14ac:dyDescent="0.2">
      <c r="B35" s="7" t="s">
        <v>15</v>
      </c>
      <c r="C35" s="103"/>
      <c r="D35" s="6" t="s">
        <v>13</v>
      </c>
      <c r="E35" s="101"/>
      <c r="F35" s="108"/>
      <c r="G35" s="5" t="str">
        <f>ipHostNext($C$30,$E$30,$F$30)</f>
        <v>198.51.100.16/24</v>
      </c>
    </row>
    <row r="36" spans="2:13" ht="15" customHeight="1" x14ac:dyDescent="0.25">
      <c r="B36" s="7" t="s">
        <v>14</v>
      </c>
      <c r="C36" s="103"/>
      <c r="D36" s="6" t="s">
        <v>13</v>
      </c>
      <c r="E36" s="101"/>
      <c r="F36" s="108"/>
      <c r="G36" s="5" t="e">
        <f>ipHostLast($C$30,$E$30,$F$30)</f>
        <v>#NUM!</v>
      </c>
      <c r="I36" s="4"/>
      <c r="J36" s="4"/>
      <c r="K36" s="4"/>
      <c r="L36" s="4"/>
      <c r="M36" s="4"/>
    </row>
    <row r="37" spans="2:13" ht="15" customHeight="1" x14ac:dyDescent="0.2">
      <c r="B37" s="3" t="s">
        <v>11</v>
      </c>
      <c r="C37" s="104"/>
      <c r="D37" s="2" t="s">
        <v>13</v>
      </c>
      <c r="E37" s="2" t="s">
        <v>13</v>
      </c>
      <c r="F37" s="2" t="s">
        <v>13</v>
      </c>
      <c r="G37" s="1" t="str">
        <f>ipHostCount($C$30)</f>
        <v xml:space="preserve"> 254</v>
      </c>
    </row>
    <row r="38" spans="2:13" ht="15" customHeight="1" x14ac:dyDescent="0.2">
      <c r="B38" s="11" t="s">
        <v>5</v>
      </c>
      <c r="C38" s="102" t="s">
        <v>21</v>
      </c>
      <c r="D38" s="10" t="s">
        <v>13</v>
      </c>
      <c r="E38" s="100">
        <v>201</v>
      </c>
      <c r="F38" s="100" t="s">
        <v>20</v>
      </c>
      <c r="G38" s="9" t="str">
        <f>ipAddress($C$38,$E$38,$F$38)</f>
        <v>2001:db8:3:e000::0.0.0.5/64</v>
      </c>
      <c r="H38" s="8"/>
    </row>
    <row r="39" spans="2:13" ht="15" customHeight="1" x14ac:dyDescent="0.2">
      <c r="B39" s="7" t="s">
        <v>19</v>
      </c>
      <c r="C39" s="103"/>
      <c r="D39" s="6">
        <v>1</v>
      </c>
      <c r="E39" s="101"/>
      <c r="F39" s="101"/>
      <c r="G39" s="5" t="str">
        <f>ipHostX($C$38,$D$39,$E$38,$F$38)</f>
        <v>2001:db8:3:e000::0.0.0.1/64</v>
      </c>
      <c r="H39" s="8"/>
    </row>
    <row r="40" spans="2:13" ht="15" customHeight="1" x14ac:dyDescent="0.2">
      <c r="B40" s="7" t="s">
        <v>18</v>
      </c>
      <c r="C40" s="103"/>
      <c r="D40" s="6">
        <v>1</v>
      </c>
      <c r="E40" s="101"/>
      <c r="F40" s="101"/>
      <c r="G40" s="5" t="str">
        <f>ipHostY($C$38,$D$40,$E$38,$F$38)</f>
        <v>2001:db8:3:e000:ffff:ffff:255.255.255.127/64</v>
      </c>
      <c r="H40" s="8"/>
    </row>
    <row r="41" spans="2:13" ht="15" customHeight="1" x14ac:dyDescent="0.25">
      <c r="B41" s="7" t="s">
        <v>17</v>
      </c>
      <c r="C41" s="103"/>
      <c r="D41" s="6" t="s">
        <v>13</v>
      </c>
      <c r="E41" s="101"/>
      <c r="F41" s="101"/>
      <c r="G41" s="5" t="str">
        <f>ipHostFirst($C$38,$E$38,$F$38)</f>
        <v>2001:db8:3:e000::0.0.0.1/64</v>
      </c>
      <c r="I41" s="4"/>
      <c r="J41" s="4"/>
      <c r="K41" s="4"/>
      <c r="L41" s="4"/>
      <c r="M41" s="4"/>
    </row>
    <row r="42" spans="2:13" ht="15" customHeight="1" x14ac:dyDescent="0.2">
      <c r="B42" s="7" t="s">
        <v>16</v>
      </c>
      <c r="C42" s="103"/>
      <c r="D42" s="6" t="s">
        <v>13</v>
      </c>
      <c r="E42" s="101"/>
      <c r="F42" s="101"/>
      <c r="G42" s="5" t="str">
        <f>ipHostPrev($C$38,$E$38,$F$38)</f>
        <v>2001:db8:3:e000::0.0.0.4/64</v>
      </c>
    </row>
    <row r="43" spans="2:13" ht="15" customHeight="1" x14ac:dyDescent="0.2">
      <c r="B43" s="7" t="s">
        <v>15</v>
      </c>
      <c r="C43" s="103"/>
      <c r="D43" s="6" t="s">
        <v>13</v>
      </c>
      <c r="E43" s="101"/>
      <c r="F43" s="101"/>
      <c r="G43" s="5" t="str">
        <f>ipHostNext($C$38,$E$38,$F$38)</f>
        <v>2001:db8:3:e000::0.0.0.6/64</v>
      </c>
    </row>
    <row r="44" spans="2:13" ht="15" customHeight="1" x14ac:dyDescent="0.25">
      <c r="B44" s="7" t="s">
        <v>14</v>
      </c>
      <c r="C44" s="103"/>
      <c r="D44" s="6" t="s">
        <v>13</v>
      </c>
      <c r="E44" s="101"/>
      <c r="F44" s="101"/>
      <c r="G44" s="5" t="str">
        <f>ipHostLast($C$38,$E$38,$F$38)</f>
        <v>2001:db8:3:e000:ffff:ffff:255.255.255.127/64</v>
      </c>
      <c r="I44" s="4"/>
      <c r="J44" s="4"/>
      <c r="K44" s="4"/>
      <c r="L44" s="4"/>
      <c r="M44" s="4"/>
    </row>
    <row r="45" spans="2:13" ht="15" customHeight="1" x14ac:dyDescent="0.2">
      <c r="B45" s="3" t="s">
        <v>11</v>
      </c>
      <c r="C45" s="104"/>
      <c r="D45" s="2" t="s">
        <v>13</v>
      </c>
      <c r="E45" s="2" t="s">
        <v>13</v>
      </c>
      <c r="F45" s="2" t="s">
        <v>13</v>
      </c>
      <c r="G45" s="1" t="str">
        <f>ipHostCount($C$38)</f>
        <v xml:space="preserve"> 1.84467440737096E+19</v>
      </c>
    </row>
  </sheetData>
  <mergeCells count="25">
    <mergeCell ref="E38:E44"/>
    <mergeCell ref="C38:C45"/>
    <mergeCell ref="C19:G19"/>
    <mergeCell ref="C20:G20"/>
    <mergeCell ref="C30:C37"/>
    <mergeCell ref="F38:F44"/>
    <mergeCell ref="C25:G25"/>
    <mergeCell ref="F30:F36"/>
    <mergeCell ref="E30:E36"/>
    <mergeCell ref="C24:G24"/>
    <mergeCell ref="C18:G18"/>
    <mergeCell ref="C23:G23"/>
    <mergeCell ref="C22:G22"/>
    <mergeCell ref="C13:F13"/>
    <mergeCell ref="C14:F14"/>
    <mergeCell ref="B5:G5"/>
    <mergeCell ref="C9:F9"/>
    <mergeCell ref="C15:F15"/>
    <mergeCell ref="B2:G2"/>
    <mergeCell ref="B3:G3"/>
    <mergeCell ref="C7:F7"/>
    <mergeCell ref="C10:F10"/>
    <mergeCell ref="C8:F8"/>
    <mergeCell ref="C11:F11"/>
    <mergeCell ref="C12:F12"/>
  </mergeCells>
  <dataValidations count="1">
    <dataValidation type="custom" allowBlank="1" showInputMessage="1" showErrorMessage="1" sqref="E30" xr:uid="{00000000-0002-0000-0100-000000000000}">
      <formula1>AND((QUOTIENT(E30,10^(LEN(E30)-1))&lt;7),(QUOTIENT(E30,10^(LEN(E30)-1))&gt;0),NOT(ISERROR(BIN2DEC(MOD(E30,10^(LEN(E30)-1))))))</formula1>
    </dataValidation>
  </dataValidations>
  <pageMargins left="0.75" right="0.75" top="1" bottom="1" header="0.5" footer="0.5"/>
  <pageSetup paperSize="9" orientation="portrait" horizontalDpi="4294967292" vertic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I35"/>
  <sheetViews>
    <sheetView showGridLines="0" zoomScale="120" zoomScaleNormal="120" zoomScalePageLayoutView="90" workbookViewId="0"/>
  </sheetViews>
  <sheetFormatPr baseColWidth="10" defaultColWidth="11" defaultRowHeight="16" x14ac:dyDescent="0.2"/>
  <cols>
    <col min="1" max="1" width="2.83203125" customWidth="1"/>
    <col min="2" max="2" width="14.1640625" customWidth="1"/>
    <col min="3" max="3" width="29.6640625" customWidth="1"/>
    <col min="4" max="4" width="7.1640625" bestFit="1" customWidth="1"/>
    <col min="5" max="5" width="41.83203125" customWidth="1"/>
    <col min="6" max="6" width="20.33203125" customWidth="1"/>
    <col min="7" max="7" width="54.6640625" bestFit="1" customWidth="1"/>
    <col min="9" max="9" width="21" customWidth="1"/>
  </cols>
  <sheetData>
    <row r="2" spans="2:9" ht="31" x14ac:dyDescent="0.35">
      <c r="B2" s="88" t="s">
        <v>57</v>
      </c>
      <c r="C2" s="88"/>
      <c r="D2" s="88"/>
      <c r="E2" s="88"/>
      <c r="F2" s="88"/>
      <c r="G2" s="88"/>
    </row>
    <row r="3" spans="2:9" x14ac:dyDescent="0.2">
      <c r="B3" s="89" t="str">
        <f>Introduction!B3</f>
        <v>© 2013 - 2025 Nicolas Grison</v>
      </c>
      <c r="C3" s="89"/>
      <c r="D3" s="89"/>
      <c r="E3" s="89"/>
      <c r="F3" s="89"/>
      <c r="G3" s="89"/>
    </row>
    <row r="4" spans="2:9" x14ac:dyDescent="0.2">
      <c r="B4" s="20"/>
      <c r="C4" s="20"/>
      <c r="D4" s="20"/>
      <c r="E4" s="20"/>
      <c r="F4" s="20"/>
      <c r="G4" s="20"/>
    </row>
    <row r="5" spans="2:9" x14ac:dyDescent="0.2">
      <c r="B5" s="89" t="s">
        <v>652</v>
      </c>
      <c r="C5" s="89"/>
      <c r="D5" s="89"/>
      <c r="E5" s="89"/>
      <c r="F5" s="89"/>
      <c r="G5" s="89"/>
    </row>
    <row r="6" spans="2:9" x14ac:dyDescent="0.2">
      <c r="B6" s="20"/>
      <c r="C6" s="20"/>
      <c r="D6" s="20"/>
      <c r="E6" s="20"/>
      <c r="F6" s="20"/>
      <c r="G6" s="20"/>
    </row>
    <row r="7" spans="2:9" ht="17" x14ac:dyDescent="0.2">
      <c r="B7" s="82" t="s">
        <v>27</v>
      </c>
      <c r="C7" s="94" t="s">
        <v>54</v>
      </c>
      <c r="D7" s="95"/>
      <c r="E7" s="95"/>
      <c r="F7" s="95"/>
      <c r="G7" s="83" t="s">
        <v>53</v>
      </c>
      <c r="H7" s="15"/>
      <c r="I7" s="15"/>
    </row>
    <row r="8" spans="2:9" ht="15" customHeight="1" x14ac:dyDescent="0.2">
      <c r="B8" s="28" t="s">
        <v>6</v>
      </c>
      <c r="C8" s="96" t="s">
        <v>58</v>
      </c>
      <c r="D8" s="96"/>
      <c r="E8" s="96"/>
      <c r="F8" s="96"/>
      <c r="G8" s="30" t="s">
        <v>59</v>
      </c>
      <c r="H8" s="15"/>
      <c r="I8" s="15"/>
    </row>
    <row r="9" spans="2:9" ht="30" customHeight="1" x14ac:dyDescent="0.2">
      <c r="B9" s="24" t="s">
        <v>12</v>
      </c>
      <c r="C9" s="91" t="s">
        <v>60</v>
      </c>
      <c r="D9" s="91"/>
      <c r="E9" s="91"/>
      <c r="F9" s="91"/>
      <c r="G9" s="25" t="s">
        <v>61</v>
      </c>
      <c r="H9" s="15"/>
      <c r="I9" s="15"/>
    </row>
    <row r="10" spans="2:9" ht="15" customHeight="1" x14ac:dyDescent="0.2">
      <c r="B10" s="24" t="s">
        <v>62</v>
      </c>
      <c r="C10" s="91" t="s">
        <v>63</v>
      </c>
      <c r="D10" s="91"/>
      <c r="E10" s="91"/>
      <c r="F10" s="91"/>
      <c r="G10" s="25" t="s">
        <v>64</v>
      </c>
      <c r="H10" s="15"/>
      <c r="I10" s="15"/>
    </row>
    <row r="11" spans="2:9" ht="15" customHeight="1" x14ac:dyDescent="0.2">
      <c r="B11" s="24" t="s">
        <v>65</v>
      </c>
      <c r="C11" s="91" t="s">
        <v>66</v>
      </c>
      <c r="D11" s="91"/>
      <c r="E11" s="91"/>
      <c r="F11" s="91"/>
      <c r="G11" s="25" t="s">
        <v>67</v>
      </c>
      <c r="H11" s="15"/>
      <c r="I11" s="15"/>
    </row>
    <row r="12" spans="2:9" ht="15" customHeight="1" x14ac:dyDescent="0.2">
      <c r="B12" s="22" t="s">
        <v>10</v>
      </c>
      <c r="C12" s="109" t="s">
        <v>68</v>
      </c>
      <c r="D12" s="109"/>
      <c r="E12" s="109"/>
      <c r="F12" s="109"/>
      <c r="G12" s="31" t="s">
        <v>69</v>
      </c>
      <c r="H12" s="15"/>
      <c r="I12" s="15"/>
    </row>
    <row r="13" spans="2:9" x14ac:dyDescent="0.2">
      <c r="B13" s="20"/>
      <c r="C13" s="20"/>
      <c r="D13" s="20"/>
      <c r="E13" s="20"/>
      <c r="F13" s="20"/>
      <c r="G13" s="20"/>
    </row>
    <row r="14" spans="2:9" x14ac:dyDescent="0.2">
      <c r="B14" s="19" t="s">
        <v>38</v>
      </c>
      <c r="C14" t="s">
        <v>70</v>
      </c>
    </row>
    <row r="15" spans="2:9" x14ac:dyDescent="0.2">
      <c r="C15" s="97" t="s">
        <v>71</v>
      </c>
      <c r="D15" s="97"/>
      <c r="E15" s="97"/>
      <c r="F15" s="97"/>
      <c r="G15" s="97"/>
    </row>
    <row r="16" spans="2:9" x14ac:dyDescent="0.2">
      <c r="B16" s="19"/>
      <c r="C16" s="18" t="s">
        <v>72</v>
      </c>
    </row>
    <row r="17" spans="2:9" x14ac:dyDescent="0.2">
      <c r="B17" s="19"/>
      <c r="C17" s="18"/>
    </row>
    <row r="18" spans="2:9" ht="30" customHeight="1" x14ac:dyDescent="0.2">
      <c r="B18" s="17" t="s">
        <v>33</v>
      </c>
      <c r="C18" s="99" t="s">
        <v>73</v>
      </c>
      <c r="D18" s="99"/>
      <c r="E18" s="99"/>
      <c r="F18" s="99"/>
      <c r="G18" s="99"/>
    </row>
    <row r="19" spans="2:9" ht="224" customHeight="1" x14ac:dyDescent="0.2">
      <c r="C19" s="98" t="s">
        <v>31</v>
      </c>
      <c r="D19" s="98"/>
      <c r="E19" s="98"/>
      <c r="F19" s="98"/>
      <c r="G19" s="98"/>
    </row>
    <row r="20" spans="2:9" ht="30.75" customHeight="1" x14ac:dyDescent="0.2">
      <c r="C20" s="98" t="s">
        <v>74</v>
      </c>
      <c r="D20" s="98"/>
      <c r="E20" s="98"/>
      <c r="F20" s="98"/>
      <c r="G20" s="98"/>
      <c r="H20" s="16"/>
    </row>
    <row r="21" spans="2:9" x14ac:dyDescent="0.2">
      <c r="C21" s="106" t="s">
        <v>29</v>
      </c>
      <c r="D21" s="98"/>
      <c r="E21" s="98"/>
      <c r="F21" s="98"/>
      <c r="G21" s="98"/>
      <c r="H21" s="15"/>
      <c r="I21" s="15"/>
    </row>
    <row r="23" spans="2:9" x14ac:dyDescent="0.2">
      <c r="B23" s="14" t="s">
        <v>28</v>
      </c>
    </row>
    <row r="25" spans="2:9" ht="34" x14ac:dyDescent="0.2">
      <c r="B25" s="32" t="s">
        <v>27</v>
      </c>
      <c r="C25" s="32" t="s">
        <v>26</v>
      </c>
      <c r="D25" s="33" t="s">
        <v>24</v>
      </c>
      <c r="E25" s="32" t="s">
        <v>2</v>
      </c>
      <c r="F25" s="32" t="s">
        <v>8</v>
      </c>
      <c r="G25" s="12" t="s">
        <v>23</v>
      </c>
      <c r="H25" s="8"/>
    </row>
    <row r="26" spans="2:9" ht="15" customHeight="1" x14ac:dyDescent="0.2">
      <c r="B26" s="11" t="s">
        <v>6</v>
      </c>
      <c r="C26" s="103" t="s">
        <v>75</v>
      </c>
      <c r="D26" s="103">
        <v>201</v>
      </c>
      <c r="E26" s="110"/>
      <c r="F26" s="111"/>
      <c r="G26" s="9" t="str">
        <f>ipSubAddress(C26,D26,E26,F26)</f>
        <v>198.51.100.0/28</v>
      </c>
    </row>
    <row r="27" spans="2:9" ht="15" customHeight="1" x14ac:dyDescent="0.2">
      <c r="B27" s="7" t="s">
        <v>12</v>
      </c>
      <c r="C27" s="103"/>
      <c r="D27" s="103"/>
      <c r="E27" s="110"/>
      <c r="F27" s="111"/>
      <c r="G27" s="5">
        <f>ipSubMask(C26,D26,E26,F26)</f>
        <v>28</v>
      </c>
    </row>
    <row r="28" spans="2:9" ht="15" customHeight="1" x14ac:dyDescent="0.2">
      <c r="B28" s="7" t="s">
        <v>62</v>
      </c>
      <c r="C28" s="103"/>
      <c r="D28" s="103"/>
      <c r="E28" s="110"/>
      <c r="F28" s="111"/>
      <c r="G28" s="5" t="str">
        <f>ipSubBroadcast(C26,D26)</f>
        <v>198.51.100.15/28</v>
      </c>
    </row>
    <row r="29" spans="2:9" ht="15" customHeight="1" x14ac:dyDescent="0.2">
      <c r="B29" s="7" t="s">
        <v>65</v>
      </c>
      <c r="C29" s="103"/>
      <c r="D29" s="103"/>
      <c r="E29" s="110"/>
      <c r="F29" s="111"/>
      <c r="G29" s="5" t="str">
        <f>ipSubPrev(C26,D26,E26,F26)</f>
        <v>198.51.99.240/28</v>
      </c>
    </row>
    <row r="30" spans="2:9" ht="15" customHeight="1" x14ac:dyDescent="0.2">
      <c r="B30" s="3" t="s">
        <v>10</v>
      </c>
      <c r="C30" s="103"/>
      <c r="D30" s="103"/>
      <c r="E30" s="110"/>
      <c r="F30" s="111"/>
      <c r="G30" s="1" t="str">
        <f>ipSubNext(C26,D26,E26,F26)</f>
        <v>198.51.100.16/28</v>
      </c>
    </row>
    <row r="31" spans="2:9" ht="15" customHeight="1" x14ac:dyDescent="0.2">
      <c r="B31" s="11" t="s">
        <v>6</v>
      </c>
      <c r="C31" s="102" t="s">
        <v>76</v>
      </c>
      <c r="D31" s="102">
        <v>201</v>
      </c>
      <c r="E31" s="102"/>
      <c r="F31" s="102"/>
      <c r="G31" s="9" t="str">
        <f>ipSubAddress($C$31,$D$31,$E$31,$F$31)</f>
        <v>2001:db8:3:e000::0.0.0.0/64</v>
      </c>
    </row>
    <row r="32" spans="2:9" ht="15" customHeight="1" x14ac:dyDescent="0.2">
      <c r="B32" s="7" t="s">
        <v>12</v>
      </c>
      <c r="C32" s="103"/>
      <c r="D32" s="103"/>
      <c r="E32" s="103"/>
      <c r="F32" s="103"/>
      <c r="G32" s="5">
        <f>ipSubMask($C$31,$D$31,$E$31,$F$31)</f>
        <v>64</v>
      </c>
    </row>
    <row r="33" spans="2:7" ht="15" customHeight="1" x14ac:dyDescent="0.2">
      <c r="B33" s="7" t="s">
        <v>62</v>
      </c>
      <c r="C33" s="103"/>
      <c r="D33" s="103"/>
      <c r="E33" s="103"/>
      <c r="F33" s="103"/>
      <c r="G33" s="5" t="e">
        <f>ipSubBroadcast($C$31,$D$31,$E$31)</f>
        <v>#N/A</v>
      </c>
    </row>
    <row r="34" spans="2:7" ht="15" customHeight="1" x14ac:dyDescent="0.2">
      <c r="B34" s="7" t="s">
        <v>65</v>
      </c>
      <c r="C34" s="103"/>
      <c r="D34" s="103"/>
      <c r="E34" s="103"/>
      <c r="F34" s="103"/>
      <c r="G34" s="5" t="str">
        <f>ipSubPrev($C$31,$D$31,$E$31,$F$31)</f>
        <v>2001:db8:3:dfff::0.0.0.0/64</v>
      </c>
    </row>
    <row r="35" spans="2:7" ht="15" customHeight="1" x14ac:dyDescent="0.2">
      <c r="B35" s="3" t="s">
        <v>10</v>
      </c>
      <c r="C35" s="104"/>
      <c r="D35" s="104"/>
      <c r="E35" s="104"/>
      <c r="F35" s="104"/>
      <c r="G35" s="1" t="str">
        <f>ipSubNext($C$31,$D$31,$E$31,$F$31)</f>
        <v>2001:db8:3:e001::0.0.0.0/64</v>
      </c>
    </row>
  </sheetData>
  <mergeCells count="22">
    <mergeCell ref="C31:C35"/>
    <mergeCell ref="D31:D35"/>
    <mergeCell ref="E31:E35"/>
    <mergeCell ref="F31:F35"/>
    <mergeCell ref="C20:G20"/>
    <mergeCell ref="C21:G21"/>
    <mergeCell ref="C26:C30"/>
    <mergeCell ref="D26:D30"/>
    <mergeCell ref="E26:E30"/>
    <mergeCell ref="F26:F30"/>
    <mergeCell ref="C19:G19"/>
    <mergeCell ref="B2:G2"/>
    <mergeCell ref="B3:G3"/>
    <mergeCell ref="B5:G5"/>
    <mergeCell ref="C7:F7"/>
    <mergeCell ref="C8:F8"/>
    <mergeCell ref="C9:F9"/>
    <mergeCell ref="C10:F10"/>
    <mergeCell ref="C11:F11"/>
    <mergeCell ref="C12:F12"/>
    <mergeCell ref="C15:G15"/>
    <mergeCell ref="C18:G18"/>
  </mergeCells>
  <pageMargins left="0.75" right="0.75" top="1" bottom="1" header="0.5" footer="0.5"/>
  <pageSetup paperSize="9" orientation="portrait" horizontalDpi="4294967292" verticalDpi="4294967292"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J67"/>
  <sheetViews>
    <sheetView showGridLines="0" zoomScale="80" zoomScaleNormal="80" zoomScalePageLayoutView="90" workbookViewId="0"/>
  </sheetViews>
  <sheetFormatPr baseColWidth="10" defaultColWidth="11" defaultRowHeight="16" x14ac:dyDescent="0.2"/>
  <cols>
    <col min="1" max="1" width="2.83203125" customWidth="1"/>
    <col min="2" max="2" width="14.6640625" customWidth="1"/>
    <col min="3" max="3" width="29.6640625" customWidth="1"/>
    <col min="4" max="4" width="7.1640625" bestFit="1" customWidth="1"/>
    <col min="5" max="5" width="20.6640625" customWidth="1"/>
    <col min="6" max="6" width="21.83203125" customWidth="1"/>
    <col min="7" max="7" width="16.5" customWidth="1"/>
    <col min="8" max="8" width="54.6640625" bestFit="1" customWidth="1"/>
    <col min="10" max="10" width="21" customWidth="1"/>
  </cols>
  <sheetData>
    <row r="2" spans="2:10" ht="31" x14ac:dyDescent="0.35">
      <c r="B2" s="88" t="s">
        <v>100</v>
      </c>
      <c r="C2" s="88"/>
      <c r="D2" s="88"/>
      <c r="E2" s="88"/>
      <c r="F2" s="88"/>
      <c r="G2" s="88"/>
      <c r="H2" s="88"/>
    </row>
    <row r="3" spans="2:10" x14ac:dyDescent="0.2">
      <c r="B3" s="89" t="str">
        <f>Introduction!B3</f>
        <v>© 2013 - 2025 Nicolas Grison</v>
      </c>
      <c r="C3" s="89"/>
      <c r="D3" s="89"/>
      <c r="E3" s="89"/>
      <c r="F3" s="89"/>
      <c r="G3" s="89"/>
      <c r="H3" s="89"/>
    </row>
    <row r="4" spans="2:10" x14ac:dyDescent="0.2">
      <c r="B4" s="20"/>
      <c r="C4" s="20"/>
      <c r="D4" s="20"/>
      <c r="E4" s="20"/>
      <c r="F4" s="20"/>
      <c r="G4" s="20"/>
      <c r="H4" s="20"/>
    </row>
    <row r="5" spans="2:10" x14ac:dyDescent="0.2">
      <c r="B5" s="89" t="s">
        <v>651</v>
      </c>
      <c r="C5" s="89"/>
      <c r="D5" s="89"/>
      <c r="E5" s="89"/>
      <c r="F5" s="89"/>
      <c r="G5" s="89"/>
      <c r="H5" s="89"/>
    </row>
    <row r="6" spans="2:10" x14ac:dyDescent="0.2">
      <c r="B6" s="20"/>
      <c r="C6" s="20"/>
      <c r="D6" s="20"/>
      <c r="E6" s="20"/>
      <c r="F6" s="20"/>
      <c r="G6" s="20"/>
      <c r="H6" s="20"/>
    </row>
    <row r="7" spans="2:10" ht="17" x14ac:dyDescent="0.2">
      <c r="B7" s="82" t="s">
        <v>27</v>
      </c>
      <c r="C7" s="94" t="s">
        <v>54</v>
      </c>
      <c r="D7" s="95"/>
      <c r="E7" s="95"/>
      <c r="F7" s="95"/>
      <c r="G7" s="95"/>
      <c r="H7" s="83" t="s">
        <v>53</v>
      </c>
      <c r="I7" s="15"/>
      <c r="J7" s="15"/>
    </row>
    <row r="8" spans="2:10" ht="15" customHeight="1" x14ac:dyDescent="0.2">
      <c r="B8" s="28" t="s">
        <v>101</v>
      </c>
      <c r="C8" s="96" t="s">
        <v>102</v>
      </c>
      <c r="D8" s="96"/>
      <c r="E8" s="96"/>
      <c r="F8" s="96"/>
      <c r="G8" s="96"/>
      <c r="H8" s="30" t="s">
        <v>103</v>
      </c>
      <c r="I8" s="15"/>
      <c r="J8" s="15"/>
    </row>
    <row r="9" spans="2:10" ht="15" customHeight="1" x14ac:dyDescent="0.2">
      <c r="B9" s="24" t="s">
        <v>104</v>
      </c>
      <c r="C9" s="91" t="s">
        <v>105</v>
      </c>
      <c r="D9" s="91"/>
      <c r="E9" s="91"/>
      <c r="F9" s="91"/>
      <c r="G9" s="91"/>
      <c r="H9" s="25" t="s">
        <v>106</v>
      </c>
      <c r="I9" s="15"/>
      <c r="J9" s="15"/>
    </row>
    <row r="10" spans="2:10" ht="15" customHeight="1" x14ac:dyDescent="0.2">
      <c r="B10" s="24" t="s">
        <v>107</v>
      </c>
      <c r="C10" s="91" t="s">
        <v>108</v>
      </c>
      <c r="D10" s="91"/>
      <c r="E10" s="91"/>
      <c r="F10" s="91"/>
      <c r="G10" s="91"/>
      <c r="H10" s="25" t="s">
        <v>106</v>
      </c>
      <c r="I10" s="15"/>
      <c r="J10" s="15"/>
    </row>
    <row r="11" spans="2:10" ht="15" customHeight="1" x14ac:dyDescent="0.2">
      <c r="B11" s="24" t="s">
        <v>109</v>
      </c>
      <c r="C11" s="91" t="s">
        <v>110</v>
      </c>
      <c r="D11" s="91"/>
      <c r="E11" s="91"/>
      <c r="F11" s="91"/>
      <c r="G11" s="91"/>
      <c r="H11" s="25" t="s">
        <v>111</v>
      </c>
      <c r="I11" s="15"/>
      <c r="J11" s="15"/>
    </row>
    <row r="12" spans="2:10" ht="15" customHeight="1" x14ac:dyDescent="0.2">
      <c r="B12" s="24" t="s">
        <v>112</v>
      </c>
      <c r="C12" s="91" t="s">
        <v>113</v>
      </c>
      <c r="D12" s="91"/>
      <c r="E12" s="91"/>
      <c r="F12" s="91"/>
      <c r="G12" s="91"/>
      <c r="H12" s="25" t="s">
        <v>114</v>
      </c>
      <c r="I12" s="15"/>
      <c r="J12" s="15"/>
    </row>
    <row r="13" spans="2:10" ht="15" customHeight="1" x14ac:dyDescent="0.2">
      <c r="B13" s="22" t="s">
        <v>115</v>
      </c>
      <c r="C13" s="109" t="s">
        <v>116</v>
      </c>
      <c r="D13" s="109"/>
      <c r="E13" s="109"/>
      <c r="F13" s="109"/>
      <c r="G13" s="109"/>
      <c r="H13" s="31" t="s">
        <v>117</v>
      </c>
      <c r="I13" s="15"/>
      <c r="J13" s="15"/>
    </row>
    <row r="14" spans="2:10" x14ac:dyDescent="0.2">
      <c r="B14" s="20"/>
      <c r="C14" s="20"/>
      <c r="D14" s="20"/>
      <c r="E14" s="20"/>
      <c r="F14" s="20"/>
      <c r="G14" s="20"/>
      <c r="H14" s="20"/>
    </row>
    <row r="15" spans="2:10" x14ac:dyDescent="0.2">
      <c r="B15" s="138" t="s">
        <v>118</v>
      </c>
      <c r="C15" t="s">
        <v>119</v>
      </c>
    </row>
    <row r="16" spans="2:10" x14ac:dyDescent="0.2">
      <c r="B16" s="138"/>
      <c r="C16" s="97" t="s">
        <v>120</v>
      </c>
      <c r="D16" s="97"/>
      <c r="E16" s="97"/>
      <c r="F16" s="97"/>
      <c r="G16" s="97"/>
      <c r="H16" s="97"/>
    </row>
    <row r="17" spans="2:10" x14ac:dyDescent="0.2">
      <c r="B17" s="138"/>
      <c r="C17" s="18" t="s">
        <v>72</v>
      </c>
    </row>
    <row r="18" spans="2:10" x14ac:dyDescent="0.2">
      <c r="B18" s="19"/>
      <c r="C18" s="18"/>
    </row>
    <row r="19" spans="2:10" ht="17" x14ac:dyDescent="0.2">
      <c r="B19" s="17" t="s">
        <v>121</v>
      </c>
      <c r="C19" s="99" t="s">
        <v>122</v>
      </c>
      <c r="D19" s="99"/>
      <c r="E19" s="99"/>
      <c r="F19" s="99"/>
      <c r="G19" s="99"/>
      <c r="H19" s="99"/>
    </row>
    <row r="20" spans="2:10" x14ac:dyDescent="0.2">
      <c r="B20" s="17"/>
      <c r="C20" s="98" t="s">
        <v>123</v>
      </c>
      <c r="D20" s="98"/>
      <c r="E20" s="98"/>
      <c r="F20" s="98"/>
      <c r="G20" s="98"/>
      <c r="H20" s="98"/>
    </row>
    <row r="21" spans="2:10" x14ac:dyDescent="0.2">
      <c r="C21" s="136" t="s">
        <v>124</v>
      </c>
      <c r="D21" s="98"/>
      <c r="E21" s="98"/>
      <c r="F21" s="98"/>
      <c r="G21" s="98"/>
      <c r="H21" s="98"/>
    </row>
    <row r="22" spans="2:10" x14ac:dyDescent="0.2">
      <c r="C22" s="137" t="s">
        <v>125</v>
      </c>
      <c r="D22" s="98"/>
      <c r="E22" s="98"/>
      <c r="F22" s="98"/>
      <c r="G22" s="98"/>
      <c r="H22" s="98"/>
      <c r="I22" s="16"/>
    </row>
    <row r="23" spans="2:10" x14ac:dyDescent="0.2">
      <c r="C23" s="36"/>
      <c r="D23" s="34"/>
      <c r="E23" s="34"/>
      <c r="F23" s="34"/>
      <c r="G23" s="34"/>
      <c r="H23" s="34"/>
      <c r="I23" s="15"/>
      <c r="J23" s="15"/>
    </row>
    <row r="24" spans="2:10" x14ac:dyDescent="0.2">
      <c r="B24" s="136" t="s">
        <v>126</v>
      </c>
      <c r="C24" t="s">
        <v>127</v>
      </c>
    </row>
    <row r="25" spans="2:10" x14ac:dyDescent="0.2">
      <c r="B25" s="136"/>
      <c r="C25" s="97" t="s">
        <v>128</v>
      </c>
      <c r="D25" s="97"/>
      <c r="E25" s="97"/>
      <c r="F25" s="97"/>
      <c r="G25" s="97"/>
      <c r="H25" s="97"/>
    </row>
    <row r="26" spans="2:10" x14ac:dyDescent="0.2">
      <c r="B26" s="19"/>
      <c r="C26" s="18"/>
    </row>
    <row r="27" spans="2:10" ht="17" x14ac:dyDescent="0.2">
      <c r="B27" s="17" t="s">
        <v>121</v>
      </c>
      <c r="C27" s="99" t="s">
        <v>122</v>
      </c>
      <c r="D27" s="99"/>
      <c r="E27" s="99"/>
      <c r="F27" s="99"/>
      <c r="G27" s="99"/>
      <c r="H27" s="99"/>
    </row>
    <row r="28" spans="2:10" x14ac:dyDescent="0.2">
      <c r="B28" s="17"/>
      <c r="C28" s="98" t="s">
        <v>123</v>
      </c>
      <c r="D28" s="98"/>
      <c r="E28" s="98"/>
      <c r="F28" s="98"/>
      <c r="G28" s="98"/>
      <c r="H28" s="98"/>
    </row>
    <row r="29" spans="2:10" x14ac:dyDescent="0.2">
      <c r="C29" s="98" t="s">
        <v>129</v>
      </c>
      <c r="D29" s="98"/>
      <c r="E29" s="98"/>
      <c r="F29" s="98"/>
      <c r="G29" s="98"/>
      <c r="H29" s="98"/>
      <c r="I29" s="16"/>
    </row>
    <row r="30" spans="2:10" x14ac:dyDescent="0.2">
      <c r="C30" s="98" t="s">
        <v>130</v>
      </c>
      <c r="D30" s="98"/>
      <c r="E30" s="98"/>
      <c r="F30" s="98"/>
      <c r="G30" s="98"/>
      <c r="H30" s="98"/>
    </row>
    <row r="32" spans="2:10" ht="32.25" customHeight="1" x14ac:dyDescent="0.2">
      <c r="B32" s="44" t="s">
        <v>131</v>
      </c>
      <c r="C32" s="97" t="s">
        <v>132</v>
      </c>
      <c r="D32" s="97"/>
      <c r="E32" s="97"/>
      <c r="F32" s="97"/>
      <c r="G32" s="97"/>
      <c r="H32" s="97"/>
    </row>
    <row r="33" spans="2:9" x14ac:dyDescent="0.2">
      <c r="B33" s="19"/>
      <c r="C33" s="18" t="s">
        <v>72</v>
      </c>
      <c r="D33" s="18"/>
      <c r="E33" s="18"/>
      <c r="F33" s="18"/>
      <c r="G33" s="18"/>
      <c r="H33" s="18"/>
    </row>
    <row r="34" spans="2:9" x14ac:dyDescent="0.2">
      <c r="B34" s="19"/>
      <c r="C34" s="18"/>
      <c r="D34" s="18"/>
      <c r="E34" s="18"/>
      <c r="F34" s="18"/>
      <c r="G34" s="18"/>
      <c r="H34" s="18"/>
    </row>
    <row r="35" spans="2:9" ht="30" customHeight="1" x14ac:dyDescent="0.2">
      <c r="B35" s="42" t="s">
        <v>121</v>
      </c>
      <c r="C35" s="99" t="s">
        <v>133</v>
      </c>
      <c r="D35" s="99"/>
      <c r="E35" s="99"/>
      <c r="F35" s="99"/>
      <c r="G35" s="99"/>
      <c r="H35" s="99"/>
      <c r="I35" s="45"/>
    </row>
    <row r="36" spans="2:9" ht="33" customHeight="1" x14ac:dyDescent="0.2">
      <c r="B36" s="42"/>
      <c r="C36" s="99" t="s">
        <v>134</v>
      </c>
      <c r="D36" s="99"/>
      <c r="E36" s="99"/>
      <c r="F36" s="99"/>
      <c r="G36" s="99"/>
      <c r="H36" s="99"/>
      <c r="I36" s="15"/>
    </row>
    <row r="38" spans="2:9" ht="32.25" customHeight="1" x14ac:dyDescent="0.2">
      <c r="B38" s="44" t="s">
        <v>135</v>
      </c>
      <c r="C38" s="97" t="s">
        <v>136</v>
      </c>
      <c r="D38" s="97"/>
      <c r="E38" s="97"/>
      <c r="F38" s="97"/>
      <c r="G38" s="97"/>
      <c r="H38" s="97"/>
    </row>
    <row r="39" spans="2:9" x14ac:dyDescent="0.2">
      <c r="B39" s="19"/>
      <c r="C39" s="18"/>
    </row>
    <row r="40" spans="2:9" ht="17" x14ac:dyDescent="0.2">
      <c r="B40" s="17" t="s">
        <v>121</v>
      </c>
      <c r="C40" s="99" t="s">
        <v>137</v>
      </c>
      <c r="D40" s="99"/>
      <c r="E40" s="99"/>
      <c r="F40" s="99"/>
      <c r="G40" s="99"/>
      <c r="H40" s="99"/>
    </row>
    <row r="41" spans="2:9" x14ac:dyDescent="0.2">
      <c r="B41" s="17"/>
      <c r="C41" s="98" t="s">
        <v>123</v>
      </c>
      <c r="D41" s="98"/>
      <c r="E41" s="98"/>
      <c r="F41" s="98"/>
      <c r="G41" s="98"/>
      <c r="H41" s="98"/>
    </row>
    <row r="43" spans="2:9" x14ac:dyDescent="0.2">
      <c r="B43" s="14" t="s">
        <v>28</v>
      </c>
    </row>
    <row r="45" spans="2:9" ht="34" x14ac:dyDescent="0.2">
      <c r="B45" s="32" t="s">
        <v>27</v>
      </c>
      <c r="C45" s="12" t="s">
        <v>138</v>
      </c>
      <c r="D45" s="13" t="s">
        <v>139</v>
      </c>
      <c r="E45" s="13" t="s">
        <v>140</v>
      </c>
      <c r="F45" s="13" t="s">
        <v>24</v>
      </c>
      <c r="G45" s="13" t="s">
        <v>2</v>
      </c>
      <c r="H45" s="12" t="s">
        <v>23</v>
      </c>
    </row>
    <row r="46" spans="2:9" ht="15" customHeight="1" x14ac:dyDescent="0.2">
      <c r="B46" s="11" t="s">
        <v>101</v>
      </c>
      <c r="C46" s="102" t="s">
        <v>141</v>
      </c>
      <c r="D46" s="102">
        <v>25</v>
      </c>
      <c r="E46" s="37" t="s">
        <v>13</v>
      </c>
      <c r="F46" s="130">
        <v>201</v>
      </c>
      <c r="G46" s="130"/>
      <c r="H46" s="9" t="str">
        <f>ipSumFirstSub(C46,D46,F46,G46)</f>
        <v>198.51.100.0/25</v>
      </c>
    </row>
    <row r="47" spans="2:9" x14ac:dyDescent="0.2">
      <c r="B47" s="7" t="s">
        <v>104</v>
      </c>
      <c r="C47" s="103"/>
      <c r="D47" s="103"/>
      <c r="E47" s="38" t="s">
        <v>150</v>
      </c>
      <c r="F47" s="131"/>
      <c r="G47" s="131"/>
      <c r="H47" s="5" t="str">
        <f>ipSumSubX(C46,D46,E47,F46,G46)</f>
        <v>198.51.100.0/25</v>
      </c>
    </row>
    <row r="48" spans="2:9" x14ac:dyDescent="0.2">
      <c r="B48" s="7" t="s">
        <v>107</v>
      </c>
      <c r="C48" s="103"/>
      <c r="D48" s="103"/>
      <c r="E48" s="38" t="s">
        <v>150</v>
      </c>
      <c r="F48" s="131"/>
      <c r="G48" s="131"/>
      <c r="H48" s="5" t="str">
        <f>ipSumSubY(C46,D46,E48,F46,G46)</f>
        <v>198.51.103.128/25</v>
      </c>
    </row>
    <row r="49" spans="2:8" ht="15" customHeight="1" x14ac:dyDescent="0.2">
      <c r="B49" s="7" t="s">
        <v>109</v>
      </c>
      <c r="C49" s="103"/>
      <c r="D49" s="103"/>
      <c r="E49" s="38" t="s">
        <v>13</v>
      </c>
      <c r="F49" s="131"/>
      <c r="G49" s="131"/>
      <c r="H49" s="5" t="str">
        <f>ipSumLastSub(C46,D46,F46,G46)</f>
        <v>198.51.103.128/25</v>
      </c>
    </row>
    <row r="50" spans="2:8" ht="15" customHeight="1" x14ac:dyDescent="0.2">
      <c r="B50" s="11" t="s">
        <v>101</v>
      </c>
      <c r="C50" s="102" t="s">
        <v>143</v>
      </c>
      <c r="D50" s="102">
        <v>64</v>
      </c>
      <c r="E50" s="37" t="s">
        <v>13</v>
      </c>
      <c r="F50" s="130">
        <v>201</v>
      </c>
      <c r="G50" s="130"/>
      <c r="H50" s="9" t="str">
        <f>ipSumFirstSub(C50,D50,F50,G50)</f>
        <v>2001:438:3:e000::0.0.0.0/64</v>
      </c>
    </row>
    <row r="51" spans="2:8" x14ac:dyDescent="0.2">
      <c r="B51" s="7" t="s">
        <v>104</v>
      </c>
      <c r="C51" s="103"/>
      <c r="D51" s="103"/>
      <c r="E51" s="38" t="s">
        <v>142</v>
      </c>
      <c r="F51" s="131"/>
      <c r="G51" s="131"/>
      <c r="H51" s="5" t="str">
        <f>ipSumSubX(C50,D50,E51,F50,G50)</f>
        <v>2001:438:3:e001::0.0.0.0/64</v>
      </c>
    </row>
    <row r="52" spans="2:8" x14ac:dyDescent="0.2">
      <c r="B52" s="7" t="s">
        <v>107</v>
      </c>
      <c r="C52" s="103"/>
      <c r="D52" s="103"/>
      <c r="E52" s="38" t="s">
        <v>142</v>
      </c>
      <c r="F52" s="131"/>
      <c r="G52" s="131"/>
      <c r="H52" s="5" t="str">
        <f>ipSumSubY(C50,D50,E52,F50,G50)</f>
        <v>203f:ffff:ffff:fffe::0.0.0.0/64</v>
      </c>
    </row>
    <row r="53" spans="2:8" ht="15" customHeight="1" x14ac:dyDescent="0.2">
      <c r="B53" s="3" t="s">
        <v>109</v>
      </c>
      <c r="C53" s="104"/>
      <c r="D53" s="104"/>
      <c r="E53" s="46" t="s">
        <v>13</v>
      </c>
      <c r="F53" s="132"/>
      <c r="G53" s="132"/>
      <c r="H53" s="1" t="str">
        <f>ipSumLastSub(C50,D50,F50,G50)</f>
        <v>203f:ffff:ffff:ffff::0.0.0.0/64</v>
      </c>
    </row>
    <row r="54" spans="2:8" ht="15" customHeight="1" x14ac:dyDescent="0.2">
      <c r="B54" s="47"/>
      <c r="C54" s="48"/>
      <c r="D54" s="48"/>
      <c r="E54" s="48"/>
      <c r="F54" s="49"/>
    </row>
    <row r="56" spans="2:8" x14ac:dyDescent="0.2">
      <c r="B56" s="32" t="s">
        <v>27</v>
      </c>
      <c r="C56" s="133" t="s">
        <v>144</v>
      </c>
      <c r="D56" s="134"/>
      <c r="E56" s="133" t="s">
        <v>8</v>
      </c>
      <c r="F56" s="135"/>
      <c r="G56" s="134"/>
      <c r="H56" s="12" t="s">
        <v>23</v>
      </c>
    </row>
    <row r="57" spans="2:8" x14ac:dyDescent="0.2">
      <c r="B57" s="112" t="s">
        <v>112</v>
      </c>
      <c r="C57" s="115" t="s">
        <v>194</v>
      </c>
      <c r="D57" s="116"/>
      <c r="E57" s="121" t="s">
        <v>145</v>
      </c>
      <c r="F57" s="122"/>
      <c r="G57" s="123"/>
      <c r="H57" s="102" t="b">
        <f>ipSumCheck(C57,E57:G59)</f>
        <v>1</v>
      </c>
    </row>
    <row r="58" spans="2:8" x14ac:dyDescent="0.2">
      <c r="B58" s="113"/>
      <c r="C58" s="117"/>
      <c r="D58" s="118"/>
      <c r="E58" s="124" t="s">
        <v>146</v>
      </c>
      <c r="F58" s="125"/>
      <c r="G58" s="126"/>
      <c r="H58" s="103"/>
    </row>
    <row r="59" spans="2:8" ht="15" customHeight="1" x14ac:dyDescent="0.2">
      <c r="B59" s="114"/>
      <c r="C59" s="119"/>
      <c r="D59" s="120"/>
      <c r="E59" s="127" t="s">
        <v>147</v>
      </c>
      <c r="F59" s="128"/>
      <c r="G59" s="129"/>
      <c r="H59" s="104"/>
    </row>
    <row r="60" spans="2:8" x14ac:dyDescent="0.2">
      <c r="B60" s="112" t="s">
        <v>112</v>
      </c>
      <c r="C60" s="115" t="s">
        <v>148</v>
      </c>
      <c r="D60" s="116"/>
      <c r="E60" s="121" t="s">
        <v>145</v>
      </c>
      <c r="F60" s="122"/>
      <c r="G60" s="123"/>
      <c r="H60" s="102" t="b">
        <f>ipSumCheck(C60,E60:G62)</f>
        <v>1</v>
      </c>
    </row>
    <row r="61" spans="2:8" x14ac:dyDescent="0.2">
      <c r="B61" s="113"/>
      <c r="C61" s="117"/>
      <c r="D61" s="118"/>
      <c r="E61" s="124" t="s">
        <v>146</v>
      </c>
      <c r="F61" s="125"/>
      <c r="G61" s="126"/>
      <c r="H61" s="103"/>
    </row>
    <row r="62" spans="2:8" ht="15" customHeight="1" x14ac:dyDescent="0.2">
      <c r="B62" s="114"/>
      <c r="C62" s="119"/>
      <c r="D62" s="120"/>
      <c r="E62" s="127" t="s">
        <v>147</v>
      </c>
      <c r="F62" s="128"/>
      <c r="G62" s="129"/>
      <c r="H62" s="104"/>
    </row>
    <row r="65" spans="2:8" ht="34" x14ac:dyDescent="0.2">
      <c r="B65" s="32" t="s">
        <v>27</v>
      </c>
      <c r="C65" s="32" t="s">
        <v>138</v>
      </c>
      <c r="D65" s="33" t="s">
        <v>139</v>
      </c>
      <c r="E65" s="33" t="s">
        <v>140</v>
      </c>
      <c r="F65" s="33" t="s">
        <v>24</v>
      </c>
      <c r="G65" s="33" t="s">
        <v>2</v>
      </c>
      <c r="H65" s="32" t="s">
        <v>23</v>
      </c>
    </row>
    <row r="66" spans="2:8" ht="17" x14ac:dyDescent="0.2">
      <c r="B66" s="50" t="s">
        <v>115</v>
      </c>
      <c r="C66" s="35" t="s">
        <v>141</v>
      </c>
      <c r="D66" s="35">
        <v>25</v>
      </c>
      <c r="E66" s="51" t="s">
        <v>13</v>
      </c>
      <c r="F66" s="52" t="s">
        <v>13</v>
      </c>
      <c r="G66" s="52" t="s">
        <v>13</v>
      </c>
      <c r="H66" s="53">
        <f>ipSumSubCount(C66,D66)</f>
        <v>8</v>
      </c>
    </row>
    <row r="67" spans="2:8" ht="17" x14ac:dyDescent="0.2">
      <c r="B67" s="3" t="s">
        <v>115</v>
      </c>
      <c r="C67" s="35" t="s">
        <v>143</v>
      </c>
      <c r="D67" s="35">
        <v>64</v>
      </c>
      <c r="E67" s="46" t="s">
        <v>13</v>
      </c>
      <c r="F67" s="54" t="s">
        <v>13</v>
      </c>
      <c r="G67" s="54" t="s">
        <v>13</v>
      </c>
      <c r="H67" s="1">
        <f>ipSumSubCount(C67,D67)</f>
        <v>1.8014398509481984E+16</v>
      </c>
    </row>
  </sheetData>
  <mergeCells count="50">
    <mergeCell ref="C9:G9"/>
    <mergeCell ref="B2:H2"/>
    <mergeCell ref="B3:H3"/>
    <mergeCell ref="B5:H5"/>
    <mergeCell ref="C7:G7"/>
    <mergeCell ref="C8:G8"/>
    <mergeCell ref="B24:B25"/>
    <mergeCell ref="C25:H25"/>
    <mergeCell ref="C10:G10"/>
    <mergeCell ref="C11:G11"/>
    <mergeCell ref="C12:G12"/>
    <mergeCell ref="C13:G13"/>
    <mergeCell ref="B15:B17"/>
    <mergeCell ref="C16:H16"/>
    <mergeCell ref="C35:H35"/>
    <mergeCell ref="C19:H19"/>
    <mergeCell ref="C20:H20"/>
    <mergeCell ref="C21:H21"/>
    <mergeCell ref="C22:H22"/>
    <mergeCell ref="C27:H27"/>
    <mergeCell ref="C28:H28"/>
    <mergeCell ref="C29:H29"/>
    <mergeCell ref="C30:H30"/>
    <mergeCell ref="C32:H32"/>
    <mergeCell ref="C36:H36"/>
    <mergeCell ref="C38:H38"/>
    <mergeCell ref="C40:H40"/>
    <mergeCell ref="C41:H41"/>
    <mergeCell ref="C46:C49"/>
    <mergeCell ref="D46:D49"/>
    <mergeCell ref="F46:F49"/>
    <mergeCell ref="G46:G49"/>
    <mergeCell ref="C50:C53"/>
    <mergeCell ref="D50:D53"/>
    <mergeCell ref="F50:F53"/>
    <mergeCell ref="G50:G53"/>
    <mergeCell ref="C56:D56"/>
    <mergeCell ref="E56:G56"/>
    <mergeCell ref="B57:B59"/>
    <mergeCell ref="C57:D59"/>
    <mergeCell ref="E57:G57"/>
    <mergeCell ref="H57:H59"/>
    <mergeCell ref="E58:G58"/>
    <mergeCell ref="E59:G59"/>
    <mergeCell ref="B60:B62"/>
    <mergeCell ref="C60:D62"/>
    <mergeCell ref="E60:G60"/>
    <mergeCell ref="H60:H62"/>
    <mergeCell ref="E61:G61"/>
    <mergeCell ref="E62:G62"/>
  </mergeCells>
  <dataValidations count="1">
    <dataValidation type="whole" allowBlank="1" showInputMessage="1" showErrorMessage="1" sqref="D46 D50" xr:uid="{00000000-0002-0000-0300-000000000000}">
      <formula1>0</formula1>
      <formula2>128</formula2>
    </dataValidation>
  </dataValidations>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I73"/>
  <sheetViews>
    <sheetView showGridLines="0" zoomScale="130" zoomScaleNormal="130" zoomScalePageLayoutView="90" workbookViewId="0">
      <selection activeCell="E21" sqref="E21"/>
    </sheetView>
  </sheetViews>
  <sheetFormatPr baseColWidth="10" defaultColWidth="11" defaultRowHeight="16" x14ac:dyDescent="0.2"/>
  <cols>
    <col min="1" max="1" width="2.83203125" customWidth="1"/>
    <col min="2" max="2" width="14.1640625" customWidth="1"/>
    <col min="3" max="3" width="29.6640625" customWidth="1"/>
    <col min="4" max="4" width="7.1640625" bestFit="1" customWidth="1"/>
    <col min="5" max="5" width="41.83203125" customWidth="1"/>
    <col min="6" max="6" width="54.6640625" bestFit="1" customWidth="1"/>
    <col min="8" max="8" width="21" customWidth="1"/>
  </cols>
  <sheetData>
    <row r="2" spans="2:9" ht="31" x14ac:dyDescent="0.35">
      <c r="B2" s="88" t="s">
        <v>199</v>
      </c>
      <c r="C2" s="88"/>
      <c r="D2" s="88"/>
      <c r="E2" s="88"/>
      <c r="F2" s="88"/>
    </row>
    <row r="3" spans="2:9" x14ac:dyDescent="0.2">
      <c r="B3" s="89" t="str">
        <f>Introduction!B3</f>
        <v>© 2013 - 2025 Nicolas Grison</v>
      </c>
      <c r="C3" s="89"/>
      <c r="D3" s="89"/>
      <c r="E3" s="89"/>
      <c r="F3" s="89"/>
    </row>
    <row r="4" spans="2:9" x14ac:dyDescent="0.2">
      <c r="B4" s="20"/>
      <c r="C4" s="20"/>
      <c r="D4" s="20"/>
      <c r="E4" s="20"/>
      <c r="F4" s="20"/>
    </row>
    <row r="5" spans="2:9" x14ac:dyDescent="0.2">
      <c r="B5" s="89" t="s">
        <v>200</v>
      </c>
      <c r="C5" s="89"/>
      <c r="D5" s="89"/>
      <c r="E5" s="89"/>
      <c r="F5" s="89"/>
    </row>
    <row r="6" spans="2:9" x14ac:dyDescent="0.2">
      <c r="B6" s="20"/>
      <c r="C6" s="20"/>
      <c r="D6" s="20"/>
      <c r="E6" s="20"/>
      <c r="F6" s="20"/>
    </row>
    <row r="7" spans="2:9" ht="17" x14ac:dyDescent="0.2">
      <c r="B7" s="82" t="s">
        <v>27</v>
      </c>
      <c r="C7" s="94" t="s">
        <v>54</v>
      </c>
      <c r="D7" s="95"/>
      <c r="E7" s="95"/>
      <c r="F7" s="84" t="s">
        <v>53</v>
      </c>
      <c r="G7" s="15"/>
      <c r="H7" s="15"/>
    </row>
    <row r="8" spans="2:9" ht="15" customHeight="1" x14ac:dyDescent="0.2">
      <c r="B8" s="73" t="s">
        <v>201</v>
      </c>
      <c r="C8" s="139" t="s">
        <v>202</v>
      </c>
      <c r="D8" s="140"/>
      <c r="E8" s="140"/>
      <c r="F8" s="74" t="s">
        <v>203</v>
      </c>
      <c r="G8" s="15"/>
      <c r="H8" s="15"/>
    </row>
    <row r="9" spans="2:9" x14ac:dyDescent="0.2">
      <c r="B9" s="20"/>
      <c r="C9" s="20"/>
      <c r="D9" s="20"/>
      <c r="E9" s="20"/>
      <c r="F9" s="20"/>
    </row>
    <row r="10" spans="2:9" x14ac:dyDescent="0.2">
      <c r="B10" s="19" t="s">
        <v>38</v>
      </c>
      <c r="C10" t="s">
        <v>119</v>
      </c>
    </row>
    <row r="11" spans="2:9" x14ac:dyDescent="0.2">
      <c r="C11" s="97" t="s">
        <v>204</v>
      </c>
      <c r="D11" s="97"/>
      <c r="E11" s="97"/>
      <c r="F11" s="97"/>
      <c r="G11" s="97"/>
    </row>
    <row r="12" spans="2:9" x14ac:dyDescent="0.2">
      <c r="B12" s="19"/>
      <c r="C12" s="18" t="s">
        <v>72</v>
      </c>
    </row>
    <row r="13" spans="2:9" x14ac:dyDescent="0.2">
      <c r="B13" s="19"/>
      <c r="C13" s="57"/>
    </row>
    <row r="14" spans="2:9" ht="30" customHeight="1" x14ac:dyDescent="0.2">
      <c r="B14" s="42" t="s">
        <v>121</v>
      </c>
      <c r="C14" s="99" t="s">
        <v>205</v>
      </c>
      <c r="D14" s="99"/>
      <c r="E14" s="99"/>
      <c r="F14" s="99"/>
      <c r="G14" s="45"/>
      <c r="H14" s="45"/>
      <c r="I14" s="45"/>
    </row>
    <row r="15" spans="2:9" ht="63" customHeight="1" x14ac:dyDescent="0.2">
      <c r="B15" s="42"/>
      <c r="C15" s="106" t="s">
        <v>206</v>
      </c>
      <c r="D15" s="106"/>
      <c r="E15" s="106"/>
      <c r="F15" s="106"/>
      <c r="G15" s="15"/>
      <c r="H15" s="15"/>
      <c r="I15" s="15"/>
    </row>
    <row r="16" spans="2:9" x14ac:dyDescent="0.2">
      <c r="C16" s="98" t="s">
        <v>166</v>
      </c>
      <c r="D16" s="98"/>
      <c r="E16" s="98"/>
      <c r="F16" s="98"/>
      <c r="G16" s="98"/>
      <c r="H16" s="98"/>
      <c r="I16" s="98"/>
    </row>
    <row r="18" spans="2:9" x14ac:dyDescent="0.2">
      <c r="B18" s="14" t="s">
        <v>28</v>
      </c>
    </row>
    <row r="20" spans="2:9" ht="34" x14ac:dyDescent="0.2">
      <c r="B20" s="32" t="s">
        <v>27</v>
      </c>
      <c r="C20" s="12" t="s">
        <v>207</v>
      </c>
      <c r="D20" s="13" t="s">
        <v>24</v>
      </c>
      <c r="E20" s="12" t="s">
        <v>2</v>
      </c>
      <c r="F20" s="12" t="s">
        <v>23</v>
      </c>
      <c r="G20" s="8"/>
    </row>
    <row r="21" spans="2:9" ht="15" customHeight="1" x14ac:dyDescent="0.2">
      <c r="B21" s="68" t="s">
        <v>201</v>
      </c>
      <c r="C21" s="61" t="s">
        <v>208</v>
      </c>
      <c r="D21" s="61">
        <v>201</v>
      </c>
      <c r="E21" s="75" t="s">
        <v>209</v>
      </c>
      <c r="F21" s="66" t="str">
        <f>ipOffset(C21,E21,D21)</f>
        <v>202.168.0.1/24</v>
      </c>
    </row>
    <row r="22" spans="2:9" ht="15" customHeight="1" x14ac:dyDescent="0.2">
      <c r="B22" s="68" t="s">
        <v>201</v>
      </c>
      <c r="C22" s="61" t="s">
        <v>76</v>
      </c>
      <c r="D22" s="61">
        <v>201</v>
      </c>
      <c r="E22" s="61">
        <v>10</v>
      </c>
      <c r="F22" s="76" t="str">
        <f>ipOffset(C22,E22,D22)</f>
        <v>2001:db8:3:e000::0.0.0.11/64</v>
      </c>
    </row>
    <row r="23" spans="2:9" ht="15" customHeight="1" x14ac:dyDescent="0.2">
      <c r="B23" s="47"/>
      <c r="C23" s="48"/>
      <c r="D23" s="48"/>
      <c r="E23" s="48"/>
      <c r="F23" s="49"/>
    </row>
    <row r="24" spans="2:9" ht="15" customHeight="1" x14ac:dyDescent="0.2">
      <c r="B24" s="47"/>
      <c r="C24" s="48"/>
      <c r="D24" s="48"/>
      <c r="E24" s="48"/>
      <c r="F24" s="49"/>
    </row>
    <row r="25" spans="2:9" ht="17" x14ac:dyDescent="0.2">
      <c r="B25" s="82" t="s">
        <v>27</v>
      </c>
      <c r="C25" s="94" t="s">
        <v>54</v>
      </c>
      <c r="D25" s="95"/>
      <c r="E25" s="95"/>
      <c r="F25" s="84" t="s">
        <v>53</v>
      </c>
      <c r="G25" s="15"/>
      <c r="H25" s="15"/>
    </row>
    <row r="26" spans="2:9" ht="15" customHeight="1" x14ac:dyDescent="0.2">
      <c r="B26" s="73" t="s">
        <v>210</v>
      </c>
      <c r="C26" s="139" t="s">
        <v>202</v>
      </c>
      <c r="D26" s="140"/>
      <c r="E26" s="140"/>
      <c r="F26" s="74" t="s">
        <v>203</v>
      </c>
      <c r="G26" s="15"/>
      <c r="H26" s="15"/>
    </row>
    <row r="27" spans="2:9" x14ac:dyDescent="0.2">
      <c r="B27" s="20"/>
      <c r="C27" s="20"/>
      <c r="D27" s="20"/>
      <c r="E27" s="20"/>
      <c r="F27" s="20"/>
    </row>
    <row r="28" spans="2:9" x14ac:dyDescent="0.2">
      <c r="B28" s="19" t="s">
        <v>38</v>
      </c>
      <c r="C28" t="s">
        <v>119</v>
      </c>
    </row>
    <row r="29" spans="2:9" x14ac:dyDescent="0.2">
      <c r="C29" s="97" t="s">
        <v>211</v>
      </c>
      <c r="D29" s="97"/>
      <c r="E29" s="97"/>
      <c r="F29" s="97"/>
      <c r="G29" s="97"/>
    </row>
    <row r="30" spans="2:9" x14ac:dyDescent="0.2">
      <c r="B30" s="19"/>
      <c r="C30" s="18" t="s">
        <v>72</v>
      </c>
    </row>
    <row r="31" spans="2:9" x14ac:dyDescent="0.2">
      <c r="B31" s="19"/>
      <c r="C31" s="57"/>
    </row>
    <row r="32" spans="2:9" ht="30" customHeight="1" x14ac:dyDescent="0.2">
      <c r="B32" s="42" t="s">
        <v>121</v>
      </c>
      <c r="C32" s="99" t="s">
        <v>205</v>
      </c>
      <c r="D32" s="99"/>
      <c r="E32" s="99"/>
      <c r="F32" s="99"/>
      <c r="G32" s="45"/>
      <c r="H32" s="45"/>
      <c r="I32" s="45"/>
    </row>
    <row r="33" spans="2:9" ht="63" customHeight="1" x14ac:dyDescent="0.2">
      <c r="B33" s="42"/>
      <c r="C33" s="106" t="s">
        <v>206</v>
      </c>
      <c r="D33" s="106"/>
      <c r="E33" s="106"/>
      <c r="F33" s="106"/>
      <c r="G33" s="15"/>
      <c r="H33" s="15"/>
      <c r="I33" s="15"/>
    </row>
    <row r="34" spans="2:9" x14ac:dyDescent="0.2">
      <c r="C34" s="98" t="s">
        <v>166</v>
      </c>
      <c r="D34" s="98"/>
      <c r="E34" s="98"/>
      <c r="F34" s="98"/>
      <c r="G34" s="98"/>
      <c r="H34" s="98"/>
      <c r="I34" s="98"/>
    </row>
    <row r="36" spans="2:9" x14ac:dyDescent="0.2">
      <c r="B36" s="14" t="s">
        <v>28</v>
      </c>
    </row>
    <row r="38" spans="2:9" ht="34" x14ac:dyDescent="0.2">
      <c r="B38" s="32" t="s">
        <v>27</v>
      </c>
      <c r="C38" s="12" t="s">
        <v>212</v>
      </c>
      <c r="D38" s="13" t="s">
        <v>24</v>
      </c>
      <c r="E38" s="12" t="s">
        <v>207</v>
      </c>
      <c r="F38" s="12" t="s">
        <v>23</v>
      </c>
      <c r="G38" s="8"/>
    </row>
    <row r="39" spans="2:9" ht="15" customHeight="1" x14ac:dyDescent="0.2">
      <c r="B39" s="112" t="s">
        <v>210</v>
      </c>
      <c r="C39" s="102" t="s">
        <v>196</v>
      </c>
      <c r="D39" s="102">
        <v>201</v>
      </c>
      <c r="E39" s="61" t="s">
        <v>194</v>
      </c>
      <c r="F39" s="102" t="str">
        <f>ipRoute(C39,E39:E43,D39)</f>
        <v>192.168.2.0/28</v>
      </c>
    </row>
    <row r="40" spans="2:9" ht="15" customHeight="1" x14ac:dyDescent="0.2">
      <c r="B40" s="113"/>
      <c r="C40" s="103"/>
      <c r="D40" s="103"/>
      <c r="E40" s="61" t="s">
        <v>180</v>
      </c>
      <c r="F40" s="103"/>
    </row>
    <row r="41" spans="2:9" ht="15" customHeight="1" x14ac:dyDescent="0.2">
      <c r="B41" s="113"/>
      <c r="C41" s="103"/>
      <c r="D41" s="103"/>
      <c r="E41" s="61" t="s">
        <v>213</v>
      </c>
      <c r="F41" s="103"/>
    </row>
    <row r="42" spans="2:9" ht="15" customHeight="1" x14ac:dyDescent="0.2">
      <c r="B42" s="113"/>
      <c r="C42" s="103"/>
      <c r="D42" s="103"/>
      <c r="E42" s="61" t="s">
        <v>181</v>
      </c>
      <c r="F42" s="103"/>
    </row>
    <row r="43" spans="2:9" ht="15" customHeight="1" x14ac:dyDescent="0.2">
      <c r="B43" s="114"/>
      <c r="C43" s="104"/>
      <c r="D43" s="104"/>
      <c r="E43" s="61" t="s">
        <v>214</v>
      </c>
      <c r="F43" s="104"/>
    </row>
    <row r="44" spans="2:9" ht="15" customHeight="1" x14ac:dyDescent="0.2">
      <c r="B44" s="65"/>
      <c r="C44" s="48"/>
      <c r="D44" s="48"/>
      <c r="E44" s="77"/>
      <c r="F44" s="48"/>
    </row>
    <row r="45" spans="2:9" ht="15" customHeight="1" x14ac:dyDescent="0.2">
      <c r="B45" s="47"/>
      <c r="C45" s="49"/>
      <c r="D45" s="49"/>
      <c r="E45" s="49"/>
      <c r="F45" s="49"/>
    </row>
    <row r="46" spans="2:9" ht="17" x14ac:dyDescent="0.2">
      <c r="B46" s="82" t="s">
        <v>27</v>
      </c>
      <c r="C46" s="94" t="s">
        <v>54</v>
      </c>
      <c r="D46" s="95"/>
      <c r="E46" s="95"/>
      <c r="F46" s="84" t="s">
        <v>53</v>
      </c>
      <c r="G46" s="15"/>
      <c r="H46" s="15"/>
    </row>
    <row r="47" spans="2:9" ht="17" x14ac:dyDescent="0.2">
      <c r="B47" s="78" t="s">
        <v>215</v>
      </c>
      <c r="C47" s="141" t="s">
        <v>216</v>
      </c>
      <c r="D47" s="141"/>
      <c r="E47" s="141"/>
      <c r="F47" s="141"/>
      <c r="G47" s="15"/>
      <c r="H47" s="15"/>
    </row>
    <row r="48" spans="2:9" x14ac:dyDescent="0.2">
      <c r="B48" s="20"/>
      <c r="C48" s="20"/>
      <c r="D48" s="20"/>
      <c r="E48" s="20"/>
      <c r="F48" s="20"/>
    </row>
    <row r="49" spans="2:8" x14ac:dyDescent="0.2">
      <c r="B49" s="19" t="s">
        <v>38</v>
      </c>
      <c r="C49" t="s">
        <v>119</v>
      </c>
    </row>
    <row r="50" spans="2:8" x14ac:dyDescent="0.2">
      <c r="C50" s="97" t="s">
        <v>217</v>
      </c>
      <c r="D50" s="97"/>
      <c r="E50" s="97"/>
      <c r="F50" s="97"/>
      <c r="G50" s="97"/>
    </row>
    <row r="52" spans="2:8" x14ac:dyDescent="0.2">
      <c r="B52" s="14" t="s">
        <v>28</v>
      </c>
    </row>
    <row r="54" spans="2:8" x14ac:dyDescent="0.2">
      <c r="B54" s="32" t="s">
        <v>27</v>
      </c>
      <c r="C54" s="133" t="s">
        <v>218</v>
      </c>
      <c r="D54" s="135"/>
      <c r="E54" s="134"/>
      <c r="F54" s="12" t="s">
        <v>23</v>
      </c>
      <c r="G54" s="8"/>
    </row>
    <row r="55" spans="2:8" ht="15" customHeight="1" x14ac:dyDescent="0.2">
      <c r="B55" s="68" t="s">
        <v>215</v>
      </c>
      <c r="C55" s="142" t="s">
        <v>13</v>
      </c>
      <c r="D55" s="143"/>
      <c r="E55" s="143"/>
      <c r="F55" s="76" t="str">
        <f>ipVersion()</f>
        <v>IP Functions v4 ©2013-17 N. Grison http://tiny.cc/xlsipf</v>
      </c>
    </row>
    <row r="58" spans="2:8" ht="17" x14ac:dyDescent="0.2">
      <c r="B58" s="82" t="s">
        <v>27</v>
      </c>
      <c r="C58" s="94" t="s">
        <v>54</v>
      </c>
      <c r="D58" s="95"/>
      <c r="E58" s="95"/>
      <c r="F58" s="84" t="s">
        <v>53</v>
      </c>
      <c r="G58" s="15"/>
      <c r="H58" s="15"/>
    </row>
    <row r="59" spans="2:8" ht="17" x14ac:dyDescent="0.2">
      <c r="B59" s="78" t="s">
        <v>655</v>
      </c>
      <c r="C59" s="141" t="s">
        <v>659</v>
      </c>
      <c r="D59" s="141"/>
      <c r="E59" s="141"/>
      <c r="F59" s="141"/>
      <c r="G59" s="15"/>
      <c r="H59" s="15"/>
    </row>
    <row r="60" spans="2:8" x14ac:dyDescent="0.2">
      <c r="B60" s="20"/>
      <c r="C60" s="20"/>
      <c r="D60" s="20"/>
      <c r="E60" s="20"/>
      <c r="F60" s="20"/>
    </row>
    <row r="61" spans="2:8" x14ac:dyDescent="0.2">
      <c r="B61" s="19" t="s">
        <v>38</v>
      </c>
      <c r="C61" t="s">
        <v>119</v>
      </c>
    </row>
    <row r="62" spans="2:8" x14ac:dyDescent="0.2">
      <c r="C62" s="97" t="s">
        <v>660</v>
      </c>
      <c r="D62" s="97"/>
      <c r="E62" s="97"/>
      <c r="F62" s="97"/>
      <c r="G62" s="97"/>
    </row>
    <row r="63" spans="2:8" x14ac:dyDescent="0.2">
      <c r="C63" s="86"/>
      <c r="D63" s="86"/>
      <c r="E63" s="86"/>
      <c r="F63" s="86"/>
      <c r="G63" s="86"/>
    </row>
    <row r="64" spans="2:8" ht="36" customHeight="1" x14ac:dyDescent="0.2">
      <c r="B64" s="42" t="s">
        <v>121</v>
      </c>
      <c r="C64" s="99" t="s">
        <v>661</v>
      </c>
      <c r="D64" s="99"/>
      <c r="E64" s="99"/>
      <c r="F64" s="99"/>
      <c r="G64" s="86"/>
    </row>
    <row r="66" spans="2:8" x14ac:dyDescent="0.2">
      <c r="B66" s="14" t="s">
        <v>28</v>
      </c>
    </row>
    <row r="68" spans="2:8" x14ac:dyDescent="0.2">
      <c r="B68" s="32" t="s">
        <v>27</v>
      </c>
      <c r="C68" s="133" t="s">
        <v>656</v>
      </c>
      <c r="D68" s="135"/>
      <c r="E68" s="134"/>
      <c r="F68" s="12" t="s">
        <v>23</v>
      </c>
      <c r="G68" s="8"/>
    </row>
    <row r="69" spans="2:8" ht="15" customHeight="1" x14ac:dyDescent="0.2">
      <c r="B69" s="112" t="s">
        <v>655</v>
      </c>
      <c r="C69" s="142" t="s">
        <v>662</v>
      </c>
      <c r="D69" s="143"/>
      <c r="E69" s="143"/>
      <c r="F69" s="69" t="str" cm="1">
        <f t="array" ref="F69:H73">ipClassless(C69:E73)</f>
        <v>126.0.0.0/8</v>
      </c>
      <c r="G69" t="str">
        <v/>
      </c>
      <c r="H69" t="str">
        <v/>
      </c>
    </row>
    <row r="70" spans="2:8" ht="15" customHeight="1" x14ac:dyDescent="0.2">
      <c r="B70" s="113"/>
      <c r="C70" s="142" t="s">
        <v>663</v>
      </c>
      <c r="D70" s="143"/>
      <c r="E70" s="144"/>
      <c r="F70" s="70" t="str">
        <v>127.0.0.0/16</v>
      </c>
      <c r="G70" t="str">
        <v/>
      </c>
      <c r="H70" t="str">
        <v/>
      </c>
    </row>
    <row r="71" spans="2:8" x14ac:dyDescent="0.2">
      <c r="B71" s="113"/>
      <c r="C71" s="142" t="s">
        <v>657</v>
      </c>
      <c r="D71" s="143"/>
      <c r="E71" s="143"/>
      <c r="F71" s="70" t="str">
        <v>191.168.0.0/16</v>
      </c>
      <c r="G71" t="str">
        <v/>
      </c>
      <c r="H71" t="str">
        <v/>
      </c>
    </row>
    <row r="72" spans="2:8" x14ac:dyDescent="0.2">
      <c r="B72" s="113"/>
      <c r="C72" s="142" t="s">
        <v>664</v>
      </c>
      <c r="D72" s="143"/>
      <c r="E72" s="144"/>
      <c r="F72" s="70" t="str">
        <v>192.0.0.0/24</v>
      </c>
      <c r="G72" t="str">
        <v/>
      </c>
      <c r="H72" t="str">
        <v/>
      </c>
    </row>
    <row r="73" spans="2:8" x14ac:dyDescent="0.2">
      <c r="B73" s="114"/>
      <c r="C73" s="142" t="s">
        <v>658</v>
      </c>
      <c r="D73" s="143"/>
      <c r="E73" s="143"/>
      <c r="F73" s="71" t="str">
        <v>192.168.0.0/25</v>
      </c>
      <c r="G73" t="str">
        <v/>
      </c>
      <c r="H73" t="str">
        <v/>
      </c>
    </row>
  </sheetData>
  <mergeCells count="35">
    <mergeCell ref="C71:E71"/>
    <mergeCell ref="C73:E73"/>
    <mergeCell ref="B69:B73"/>
    <mergeCell ref="C58:E58"/>
    <mergeCell ref="C59:F59"/>
    <mergeCell ref="C62:G62"/>
    <mergeCell ref="C68:E68"/>
    <mergeCell ref="C69:E69"/>
    <mergeCell ref="C64:F64"/>
    <mergeCell ref="C70:E70"/>
    <mergeCell ref="C72:E72"/>
    <mergeCell ref="C46:E46"/>
    <mergeCell ref="C47:F47"/>
    <mergeCell ref="C50:G50"/>
    <mergeCell ref="C54:E54"/>
    <mergeCell ref="C55:E55"/>
    <mergeCell ref="C32:F32"/>
    <mergeCell ref="C33:F33"/>
    <mergeCell ref="C34:I34"/>
    <mergeCell ref="B39:B43"/>
    <mergeCell ref="D39:D43"/>
    <mergeCell ref="F39:F43"/>
    <mergeCell ref="C39:C43"/>
    <mergeCell ref="C29:G29"/>
    <mergeCell ref="B2:F2"/>
    <mergeCell ref="B3:F3"/>
    <mergeCell ref="B5:F5"/>
    <mergeCell ref="C7:E7"/>
    <mergeCell ref="C8:E8"/>
    <mergeCell ref="C11:G11"/>
    <mergeCell ref="C14:F14"/>
    <mergeCell ref="C15:F15"/>
    <mergeCell ref="C16:I16"/>
    <mergeCell ref="C25:E25"/>
    <mergeCell ref="C26:E26"/>
  </mergeCells>
  <pageMargins left="0.75" right="0.75" top="1" bottom="1" header="0.5" footer="0.5"/>
  <pageSetup paperSize="9" orientation="portrait" horizontalDpi="4294967292" verticalDpi="4294967292"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J124"/>
  <sheetViews>
    <sheetView showGridLines="0" zoomScale="110" zoomScaleNormal="110" zoomScalePageLayoutView="90" workbookViewId="0">
      <selection activeCell="C13" sqref="C13:H13"/>
    </sheetView>
  </sheetViews>
  <sheetFormatPr baseColWidth="10" defaultColWidth="11" defaultRowHeight="16" x14ac:dyDescent="0.2"/>
  <cols>
    <col min="1" max="1" width="2.83203125" customWidth="1"/>
    <col min="2" max="2" width="14.1640625" customWidth="1"/>
    <col min="3" max="3" width="29.6640625" customWidth="1"/>
    <col min="4" max="4" width="7.1640625" bestFit="1" customWidth="1"/>
    <col min="5" max="5" width="7.5" bestFit="1" customWidth="1"/>
    <col min="6" max="6" width="19.83203125" customWidth="1"/>
    <col min="7" max="7" width="38.83203125" customWidth="1"/>
    <col min="8" max="8" width="7.5" customWidth="1"/>
    <col min="10" max="10" width="21" customWidth="1"/>
  </cols>
  <sheetData>
    <row r="2" spans="2:10" ht="31" x14ac:dyDescent="0.35">
      <c r="B2" s="88" t="s">
        <v>151</v>
      </c>
      <c r="C2" s="88"/>
      <c r="D2" s="88"/>
      <c r="E2" s="88"/>
      <c r="F2" s="88"/>
      <c r="G2" s="88"/>
      <c r="H2" s="88"/>
    </row>
    <row r="3" spans="2:10" x14ac:dyDescent="0.2">
      <c r="B3" s="89" t="str">
        <f>Introduction!B3</f>
        <v>© 2013 - 2025 Nicolas Grison</v>
      </c>
      <c r="C3" s="89"/>
      <c r="D3" s="89"/>
      <c r="E3" s="89"/>
      <c r="F3" s="89"/>
      <c r="G3" s="89"/>
      <c r="H3" s="89"/>
    </row>
    <row r="4" spans="2:10" x14ac:dyDescent="0.2">
      <c r="B4" s="20"/>
      <c r="C4" s="20"/>
      <c r="D4" s="20"/>
      <c r="E4" s="20"/>
      <c r="F4" s="20"/>
      <c r="G4" s="20"/>
      <c r="H4" s="20"/>
    </row>
    <row r="5" spans="2:10" x14ac:dyDescent="0.2">
      <c r="B5" s="89" t="s">
        <v>152</v>
      </c>
      <c r="C5" s="89"/>
      <c r="D5" s="89"/>
      <c r="E5" s="89"/>
      <c r="F5" s="89"/>
      <c r="G5" s="89"/>
      <c r="H5" s="89"/>
    </row>
    <row r="6" spans="2:10" x14ac:dyDescent="0.2">
      <c r="B6" s="20"/>
      <c r="C6" s="20"/>
      <c r="D6" s="20"/>
      <c r="E6" s="20"/>
      <c r="F6" s="20"/>
      <c r="G6" s="20"/>
      <c r="H6" s="20"/>
    </row>
    <row r="7" spans="2:10" x14ac:dyDescent="0.2">
      <c r="B7" s="55" t="s">
        <v>153</v>
      </c>
      <c r="C7" s="20"/>
      <c r="D7" s="20"/>
      <c r="E7" s="20"/>
      <c r="F7" s="20"/>
      <c r="G7" s="20"/>
      <c r="H7" s="20"/>
    </row>
    <row r="8" spans="2:10" x14ac:dyDescent="0.2">
      <c r="B8" s="55" t="s">
        <v>154</v>
      </c>
      <c r="C8" s="20"/>
      <c r="D8" s="20"/>
      <c r="E8" s="20"/>
      <c r="F8" s="20"/>
      <c r="G8" s="20"/>
      <c r="H8" s="20"/>
    </row>
    <row r="9" spans="2:10" x14ac:dyDescent="0.2">
      <c r="B9" s="55" t="s">
        <v>155</v>
      </c>
      <c r="C9" s="20"/>
      <c r="D9" s="20"/>
      <c r="E9" s="20"/>
      <c r="F9" s="20"/>
      <c r="G9" s="20"/>
      <c r="H9" s="20"/>
    </row>
    <row r="10" spans="2:10" x14ac:dyDescent="0.2">
      <c r="B10" s="55" t="s">
        <v>156</v>
      </c>
      <c r="C10" s="20"/>
      <c r="D10" s="20"/>
      <c r="E10" s="20"/>
      <c r="F10" s="20"/>
      <c r="G10" s="20"/>
      <c r="H10" s="20"/>
    </row>
    <row r="11" spans="2:10" x14ac:dyDescent="0.2">
      <c r="B11" s="20"/>
      <c r="C11" s="20"/>
      <c r="D11" s="20"/>
      <c r="E11" s="20"/>
      <c r="F11" s="20"/>
      <c r="G11" s="20"/>
      <c r="H11" s="20"/>
    </row>
    <row r="12" spans="2:10" ht="17" x14ac:dyDescent="0.2">
      <c r="B12" s="82" t="s">
        <v>27</v>
      </c>
      <c r="C12" s="94" t="s">
        <v>54</v>
      </c>
      <c r="D12" s="95"/>
      <c r="E12" s="95"/>
      <c r="F12" s="95"/>
      <c r="G12" s="95"/>
      <c r="H12" s="146"/>
      <c r="I12" s="15"/>
      <c r="J12" s="15"/>
    </row>
    <row r="13" spans="2:10" ht="15" customHeight="1" x14ac:dyDescent="0.2">
      <c r="B13" s="28" t="s">
        <v>157</v>
      </c>
      <c r="C13" s="147" t="s">
        <v>158</v>
      </c>
      <c r="D13" s="148"/>
      <c r="E13" s="148"/>
      <c r="F13" s="148"/>
      <c r="G13" s="148"/>
      <c r="H13" s="149"/>
      <c r="I13" s="15"/>
      <c r="J13" s="15"/>
    </row>
    <row r="14" spans="2:10" ht="15" customHeight="1" x14ac:dyDescent="0.2">
      <c r="B14" s="22" t="s">
        <v>159</v>
      </c>
      <c r="C14" s="92" t="s">
        <v>160</v>
      </c>
      <c r="D14" s="93"/>
      <c r="E14" s="93"/>
      <c r="F14" s="93"/>
      <c r="G14" s="93"/>
      <c r="H14" s="145"/>
      <c r="I14" s="15"/>
      <c r="J14" s="15"/>
    </row>
    <row r="15" spans="2:10" x14ac:dyDescent="0.2">
      <c r="B15" s="20"/>
      <c r="C15" s="20"/>
      <c r="D15" s="20"/>
      <c r="E15" s="20"/>
      <c r="F15" s="20"/>
      <c r="G15" s="20"/>
      <c r="H15" s="20"/>
    </row>
    <row r="16" spans="2:10" x14ac:dyDescent="0.2">
      <c r="B16" s="19" t="s">
        <v>38</v>
      </c>
      <c r="C16" t="s">
        <v>119</v>
      </c>
    </row>
    <row r="17" spans="2:9" x14ac:dyDescent="0.2">
      <c r="C17" s="56" t="s">
        <v>161</v>
      </c>
    </row>
    <row r="18" spans="2:9" x14ac:dyDescent="0.2">
      <c r="C18" s="56" t="s">
        <v>162</v>
      </c>
    </row>
    <row r="19" spans="2:9" ht="31.5" customHeight="1" x14ac:dyDescent="0.2">
      <c r="B19" s="19"/>
      <c r="C19" s="150" t="s">
        <v>163</v>
      </c>
      <c r="D19" s="150"/>
      <c r="E19" s="150"/>
      <c r="F19" s="150"/>
      <c r="G19" s="150"/>
      <c r="H19" s="150"/>
    </row>
    <row r="20" spans="2:9" x14ac:dyDescent="0.2">
      <c r="B20" s="19"/>
      <c r="C20" s="57"/>
    </row>
    <row r="21" spans="2:9" ht="30" customHeight="1" x14ac:dyDescent="0.2">
      <c r="B21" s="42" t="s">
        <v>121</v>
      </c>
      <c r="C21" s="99" t="s">
        <v>164</v>
      </c>
      <c r="D21" s="99"/>
      <c r="E21" s="99"/>
      <c r="F21" s="99"/>
      <c r="G21" s="99"/>
      <c r="H21" s="99"/>
    </row>
    <row r="22" spans="2:9" x14ac:dyDescent="0.2">
      <c r="B22" s="42"/>
      <c r="C22" s="98" t="s">
        <v>165</v>
      </c>
      <c r="D22" s="98"/>
      <c r="E22" s="98"/>
      <c r="F22" s="98"/>
      <c r="G22" s="98"/>
      <c r="H22" s="98"/>
    </row>
    <row r="23" spans="2:9" x14ac:dyDescent="0.2">
      <c r="C23" s="98" t="s">
        <v>166</v>
      </c>
      <c r="D23" s="98"/>
      <c r="E23" s="98"/>
      <c r="F23" s="98"/>
      <c r="G23" s="98"/>
      <c r="H23" s="98"/>
    </row>
    <row r="25" spans="2:9" x14ac:dyDescent="0.2">
      <c r="B25" s="14" t="s">
        <v>28</v>
      </c>
      <c r="C25" t="s">
        <v>167</v>
      </c>
      <c r="G25" t="s">
        <v>167</v>
      </c>
    </row>
    <row r="27" spans="2:9" ht="34" x14ac:dyDescent="0.2">
      <c r="B27" s="58"/>
      <c r="C27" s="12" t="s">
        <v>8</v>
      </c>
      <c r="D27" s="13" t="s">
        <v>168</v>
      </c>
      <c r="E27" s="13" t="s">
        <v>24</v>
      </c>
      <c r="F27" s="59"/>
      <c r="G27" s="12" t="s">
        <v>169</v>
      </c>
      <c r="H27" s="13" t="s">
        <v>24</v>
      </c>
      <c r="I27" s="8"/>
    </row>
    <row r="28" spans="2:9" ht="15" customHeight="1" x14ac:dyDescent="0.2">
      <c r="B28" s="60"/>
      <c r="C28" s="61" t="s">
        <v>265</v>
      </c>
      <c r="D28" s="62">
        <v>30</v>
      </c>
      <c r="E28" s="61">
        <v>201</v>
      </c>
      <c r="F28" s="63"/>
      <c r="G28" s="61" t="s">
        <v>170</v>
      </c>
      <c r="H28" s="61">
        <v>201</v>
      </c>
      <c r="I28" s="8"/>
    </row>
    <row r="29" spans="2:9" ht="15" customHeight="1" x14ac:dyDescent="0.2">
      <c r="B29" s="47"/>
      <c r="C29" s="48"/>
      <c r="D29" s="64"/>
      <c r="E29" s="48"/>
      <c r="F29" s="48"/>
      <c r="G29" s="64"/>
      <c r="H29" s="16"/>
      <c r="I29" s="8"/>
    </row>
    <row r="30" spans="2:9" x14ac:dyDescent="0.2">
      <c r="C30" s="65" t="s">
        <v>157</v>
      </c>
      <c r="G30" s="47" t="s">
        <v>159</v>
      </c>
    </row>
    <row r="31" spans="2:9" x14ac:dyDescent="0.2">
      <c r="B31" s="14" t="s">
        <v>171</v>
      </c>
      <c r="C31" s="66" t="str">
        <f t="array" ref="C31:C47">ipSubnets(C28,D28,E28)</f>
        <v>192.168.0.0/30</v>
      </c>
      <c r="G31" s="66" t="str">
        <f t="array" ref="G31:G47">ipHosts(G28,H28)</f>
        <v>192.168.0.1/28</v>
      </c>
    </row>
    <row r="32" spans="2:9" x14ac:dyDescent="0.2">
      <c r="C32" s="67" t="str">
        <v>192.168.0.4/30</v>
      </c>
      <c r="G32" s="67" t="str">
        <v>192.168.0.2/28</v>
      </c>
    </row>
    <row r="33" spans="3:7" x14ac:dyDescent="0.2">
      <c r="C33" s="67" t="str">
        <v>192.168.0.8/30</v>
      </c>
      <c r="G33" s="67" t="str">
        <v>192.168.0.3/28</v>
      </c>
    </row>
    <row r="34" spans="3:7" x14ac:dyDescent="0.2">
      <c r="C34" s="67" t="str">
        <v>192.168.0.12/30</v>
      </c>
      <c r="G34" s="67" t="str">
        <v>192.168.0.4/28</v>
      </c>
    </row>
    <row r="35" spans="3:7" x14ac:dyDescent="0.2">
      <c r="C35" s="67" t="str">
        <v>192.168.0.16/30</v>
      </c>
      <c r="G35" s="67" t="str">
        <v>192.168.0.5/28</v>
      </c>
    </row>
    <row r="36" spans="3:7" x14ac:dyDescent="0.2">
      <c r="C36" s="67" t="str">
        <v>192.168.0.20/30</v>
      </c>
      <c r="G36" s="67" t="str">
        <v>192.168.0.6/28</v>
      </c>
    </row>
    <row r="37" spans="3:7" x14ac:dyDescent="0.2">
      <c r="C37" s="67" t="str">
        <v>192.168.0.24/30</v>
      </c>
      <c r="G37" s="67" t="str">
        <v>192.168.0.7/28</v>
      </c>
    </row>
    <row r="38" spans="3:7" x14ac:dyDescent="0.2">
      <c r="C38" s="67" t="str">
        <v>192.168.0.28/30</v>
      </c>
      <c r="G38" s="67" t="str">
        <v>192.168.0.8/28</v>
      </c>
    </row>
    <row r="39" spans="3:7" x14ac:dyDescent="0.2">
      <c r="C39" s="67" t="str">
        <v>192.168.0.32/30</v>
      </c>
      <c r="G39" s="67" t="str">
        <v>192.168.0.9/28</v>
      </c>
    </row>
    <row r="40" spans="3:7" x14ac:dyDescent="0.2">
      <c r="C40" s="67" t="str">
        <v>192.168.0.36/30</v>
      </c>
      <c r="G40" s="67" t="str">
        <v>192.168.0.10/28</v>
      </c>
    </row>
    <row r="41" spans="3:7" x14ac:dyDescent="0.2">
      <c r="C41" s="67" t="str">
        <v>192.168.0.40/30</v>
      </c>
      <c r="G41" s="67" t="str">
        <v>192.168.0.11/28</v>
      </c>
    </row>
    <row r="42" spans="3:7" x14ac:dyDescent="0.2">
      <c r="C42" s="67" t="str">
        <v>192.168.0.44/30</v>
      </c>
      <c r="G42" s="67" t="str">
        <v>192.168.0.12/28</v>
      </c>
    </row>
    <row r="43" spans="3:7" x14ac:dyDescent="0.2">
      <c r="C43" s="67" t="str">
        <v>192.168.0.48/30</v>
      </c>
      <c r="G43" s="67" t="str">
        <v>192.168.0.13/28</v>
      </c>
    </row>
    <row r="44" spans="3:7" x14ac:dyDescent="0.2">
      <c r="C44" s="67" t="str">
        <v>192.168.0.52/30</v>
      </c>
      <c r="G44" s="67" t="str">
        <v>192.168.0.14/28</v>
      </c>
    </row>
    <row r="45" spans="3:7" x14ac:dyDescent="0.2">
      <c r="C45" s="67" t="str">
        <v>192.168.0.56/30</v>
      </c>
      <c r="G45" s="67" t="e">
        <v>#N/A</v>
      </c>
    </row>
    <row r="46" spans="3:7" x14ac:dyDescent="0.2">
      <c r="C46" s="67" t="str">
        <v>192.168.0.60/30</v>
      </c>
      <c r="G46" s="67" t="e">
        <v>#N/A</v>
      </c>
    </row>
    <row r="47" spans="3:7" x14ac:dyDescent="0.2">
      <c r="C47" s="53" t="e">
        <v>#N/A</v>
      </c>
      <c r="G47" s="53" t="e">
        <v>#N/A</v>
      </c>
    </row>
    <row r="48" spans="3:7" x14ac:dyDescent="0.2">
      <c r="C48" s="49"/>
      <c r="G48" s="49"/>
    </row>
    <row r="50" spans="2:10" ht="17" x14ac:dyDescent="0.2">
      <c r="B50" s="82" t="s">
        <v>27</v>
      </c>
      <c r="C50" s="151" t="s">
        <v>54</v>
      </c>
      <c r="D50" s="151"/>
      <c r="E50" s="151"/>
      <c r="F50" s="151"/>
      <c r="G50" s="151"/>
      <c r="H50" s="151"/>
      <c r="I50" s="15"/>
      <c r="J50" s="15"/>
    </row>
    <row r="51" spans="2:10" ht="15" customHeight="1" x14ac:dyDescent="0.2">
      <c r="B51" s="68" t="s">
        <v>172</v>
      </c>
      <c r="C51" s="152" t="s">
        <v>173</v>
      </c>
      <c r="D51" s="152"/>
      <c r="E51" s="152"/>
      <c r="F51" s="152"/>
      <c r="G51" s="152"/>
      <c r="H51" s="152"/>
      <c r="I51" s="15"/>
      <c r="J51" s="15"/>
    </row>
    <row r="52" spans="2:10" x14ac:dyDescent="0.2">
      <c r="B52" s="20"/>
      <c r="C52" s="20"/>
      <c r="D52" s="20"/>
      <c r="E52" s="20"/>
      <c r="F52" s="20"/>
      <c r="G52" s="20"/>
      <c r="H52" s="20"/>
    </row>
    <row r="53" spans="2:10" x14ac:dyDescent="0.2">
      <c r="B53" s="19" t="s">
        <v>38</v>
      </c>
      <c r="C53" t="s">
        <v>119</v>
      </c>
    </row>
    <row r="54" spans="2:10" x14ac:dyDescent="0.2">
      <c r="C54" s="56" t="s">
        <v>174</v>
      </c>
    </row>
    <row r="55" spans="2:10" ht="31.5" customHeight="1" x14ac:dyDescent="0.2">
      <c r="B55" s="19"/>
      <c r="C55" s="150" t="s">
        <v>163</v>
      </c>
      <c r="D55" s="150"/>
      <c r="E55" s="150"/>
      <c r="F55" s="150"/>
      <c r="G55" s="150"/>
      <c r="H55" s="150"/>
    </row>
    <row r="56" spans="2:10" x14ac:dyDescent="0.2">
      <c r="B56" s="19"/>
      <c r="C56" s="57"/>
    </row>
    <row r="57" spans="2:10" x14ac:dyDescent="0.2">
      <c r="B57" s="42" t="s">
        <v>121</v>
      </c>
      <c r="C57" s="99" t="s">
        <v>175</v>
      </c>
      <c r="D57" s="99"/>
      <c r="E57" s="99"/>
      <c r="F57" s="99"/>
      <c r="G57" s="99"/>
      <c r="H57" s="99"/>
    </row>
    <row r="58" spans="2:10" x14ac:dyDescent="0.2">
      <c r="C58" s="98" t="s">
        <v>166</v>
      </c>
      <c r="D58" s="98"/>
      <c r="E58" s="98"/>
      <c r="F58" s="98"/>
      <c r="G58" s="98"/>
      <c r="H58" s="98"/>
    </row>
    <row r="59" spans="2:10" x14ac:dyDescent="0.2">
      <c r="C59" s="98" t="s">
        <v>176</v>
      </c>
      <c r="D59" s="98"/>
      <c r="E59" s="98"/>
      <c r="F59" s="98"/>
      <c r="G59" s="98"/>
      <c r="H59" s="98"/>
    </row>
    <row r="61" spans="2:10" x14ac:dyDescent="0.2">
      <c r="B61" s="14" t="s">
        <v>28</v>
      </c>
    </row>
    <row r="62" spans="2:10" ht="15" customHeight="1" x14ac:dyDescent="0.2">
      <c r="B62" s="47"/>
      <c r="C62" s="48"/>
      <c r="D62" s="64"/>
      <c r="E62" s="48"/>
      <c r="F62" s="48"/>
      <c r="G62" s="64"/>
      <c r="H62" s="16"/>
      <c r="I62" s="8"/>
    </row>
    <row r="63" spans="2:10" ht="31.5" customHeight="1" x14ac:dyDescent="0.2">
      <c r="C63" s="12" t="s">
        <v>177</v>
      </c>
      <c r="D63" s="153" t="s">
        <v>24</v>
      </c>
      <c r="E63" s="154"/>
      <c r="F63" s="12" t="s">
        <v>178</v>
      </c>
    </row>
    <row r="64" spans="2:10" x14ac:dyDescent="0.2">
      <c r="C64" s="69" t="s">
        <v>179</v>
      </c>
      <c r="D64" s="115">
        <v>201</v>
      </c>
      <c r="E64" s="116"/>
      <c r="F64" s="69" t="str">
        <f t="array" ref="F64:F73">ipSummarise(C64:C73,D64,FALSE)</f>
        <v>::0.0.0.0/120</v>
      </c>
    </row>
    <row r="65" spans="2:10" x14ac:dyDescent="0.2">
      <c r="C65" s="70" t="s">
        <v>180</v>
      </c>
      <c r="D65" s="117"/>
      <c r="E65" s="118"/>
      <c r="F65" s="70" t="str">
        <v>::192.168.0.0/120</v>
      </c>
    </row>
    <row r="66" spans="2:10" x14ac:dyDescent="0.2">
      <c r="C66" s="70" t="s">
        <v>181</v>
      </c>
      <c r="D66" s="117"/>
      <c r="E66" s="118"/>
      <c r="F66" s="70" t="str">
        <v>192.167.150.0/32</v>
      </c>
    </row>
    <row r="67" spans="2:10" x14ac:dyDescent="0.2">
      <c r="C67" s="70" t="s">
        <v>182</v>
      </c>
      <c r="D67" s="117"/>
      <c r="E67" s="118"/>
      <c r="F67" s="70" t="str">
        <v>192.168.0.0/22</v>
      </c>
    </row>
    <row r="68" spans="2:10" x14ac:dyDescent="0.2">
      <c r="C68" s="70" t="s">
        <v>183</v>
      </c>
      <c r="D68" s="117"/>
      <c r="E68" s="118"/>
      <c r="F68" s="70" t="str">
        <v>192.168.8.0/24</v>
      </c>
    </row>
    <row r="69" spans="2:10" x14ac:dyDescent="0.2">
      <c r="C69" s="70" t="s">
        <v>184</v>
      </c>
      <c r="D69" s="117"/>
      <c r="E69" s="118"/>
      <c r="F69" s="70" t="str">
        <v>192.168.12.0/23</v>
      </c>
    </row>
    <row r="70" spans="2:10" x14ac:dyDescent="0.2">
      <c r="C70" s="70" t="s">
        <v>185</v>
      </c>
      <c r="D70" s="117"/>
      <c r="E70" s="118"/>
      <c r="F70" s="70" t="str">
        <v>192.168.16.0/22</v>
      </c>
    </row>
    <row r="71" spans="2:10" x14ac:dyDescent="0.2">
      <c r="C71" s="70" t="s">
        <v>186</v>
      </c>
      <c r="D71" s="117"/>
      <c r="E71" s="118"/>
      <c r="F71" s="70" t="str">
        <v>192.168.124.0/24</v>
      </c>
    </row>
    <row r="72" spans="2:10" x14ac:dyDescent="0.2">
      <c r="C72" s="70" t="s">
        <v>187</v>
      </c>
      <c r="D72" s="117"/>
      <c r="E72" s="118"/>
      <c r="F72" s="70" t="e">
        <v>#N/A</v>
      </c>
    </row>
    <row r="73" spans="2:10" x14ac:dyDescent="0.2">
      <c r="C73" s="71" t="s">
        <v>188</v>
      </c>
      <c r="D73" s="119"/>
      <c r="E73" s="120"/>
      <c r="F73" s="71" t="e">
        <v>#N/A</v>
      </c>
    </row>
    <row r="76" spans="2:10" ht="17" x14ac:dyDescent="0.2">
      <c r="B76" s="82" t="s">
        <v>27</v>
      </c>
      <c r="C76" s="151" t="s">
        <v>54</v>
      </c>
      <c r="D76" s="151"/>
      <c r="E76" s="151"/>
      <c r="F76" s="151"/>
      <c r="G76" s="151"/>
      <c r="H76" s="151"/>
      <c r="I76" s="15"/>
      <c r="J76" s="15"/>
    </row>
    <row r="77" spans="2:10" ht="15" customHeight="1" x14ac:dyDescent="0.2">
      <c r="B77" s="68" t="s">
        <v>189</v>
      </c>
      <c r="C77" s="152" t="s">
        <v>190</v>
      </c>
      <c r="D77" s="152"/>
      <c r="E77" s="152"/>
      <c r="F77" s="152"/>
      <c r="G77" s="152"/>
      <c r="H77" s="152"/>
      <c r="I77" s="15"/>
      <c r="J77" s="15"/>
    </row>
    <row r="78" spans="2:10" x14ac:dyDescent="0.2">
      <c r="B78" s="20"/>
      <c r="C78" s="20"/>
      <c r="D78" s="20"/>
      <c r="E78" s="20"/>
      <c r="F78" s="20"/>
      <c r="G78" s="20"/>
      <c r="H78" s="20"/>
    </row>
    <row r="79" spans="2:10" x14ac:dyDescent="0.2">
      <c r="B79" s="19" t="s">
        <v>38</v>
      </c>
      <c r="C79" t="s">
        <v>119</v>
      </c>
    </row>
    <row r="80" spans="2:10" x14ac:dyDescent="0.2">
      <c r="C80" s="56" t="s">
        <v>191</v>
      </c>
    </row>
    <row r="81" spans="2:9" ht="31.5" customHeight="1" x14ac:dyDescent="0.2">
      <c r="B81" s="19"/>
      <c r="C81" s="150" t="s">
        <v>163</v>
      </c>
      <c r="D81" s="150"/>
      <c r="E81" s="150"/>
      <c r="F81" s="150"/>
      <c r="G81" s="150"/>
      <c r="H81" s="150"/>
    </row>
    <row r="82" spans="2:9" x14ac:dyDescent="0.2">
      <c r="B82" s="19"/>
      <c r="C82" s="57"/>
    </row>
    <row r="83" spans="2:9" x14ac:dyDescent="0.2">
      <c r="B83" s="42" t="s">
        <v>121</v>
      </c>
      <c r="C83" s="99" t="s">
        <v>175</v>
      </c>
      <c r="D83" s="99"/>
      <c r="E83" s="99"/>
      <c r="F83" s="99"/>
      <c r="G83" s="99"/>
      <c r="H83" s="99"/>
    </row>
    <row r="84" spans="2:9" ht="15.75" customHeight="1" x14ac:dyDescent="0.2">
      <c r="C84" s="98" t="s">
        <v>166</v>
      </c>
      <c r="D84" s="98"/>
      <c r="E84" s="98"/>
      <c r="F84" s="98"/>
      <c r="G84" s="98"/>
      <c r="H84" s="98"/>
    </row>
    <row r="86" spans="2:9" x14ac:dyDescent="0.2">
      <c r="B86" s="14" t="s">
        <v>28</v>
      </c>
    </row>
    <row r="87" spans="2:9" ht="15" customHeight="1" x14ac:dyDescent="0.2">
      <c r="B87" s="47"/>
      <c r="C87" s="48"/>
      <c r="D87" s="64"/>
      <c r="E87" s="48"/>
      <c r="F87" s="48"/>
      <c r="G87" s="64"/>
      <c r="H87" s="16"/>
      <c r="I87" s="8"/>
    </row>
    <row r="88" spans="2:9" ht="31.5" customHeight="1" x14ac:dyDescent="0.2">
      <c r="C88" s="12" t="s">
        <v>177</v>
      </c>
      <c r="D88" s="153" t="s">
        <v>24</v>
      </c>
      <c r="E88" s="154"/>
      <c r="F88" s="12" t="s">
        <v>189</v>
      </c>
    </row>
    <row r="89" spans="2:9" x14ac:dyDescent="0.2">
      <c r="C89" s="69" t="s">
        <v>179</v>
      </c>
      <c r="D89" s="115">
        <v>201</v>
      </c>
      <c r="E89" s="116"/>
      <c r="F89" s="69" t="str">
        <f t="array" ref="F89:F98">ipSort(C89:C98,D89)</f>
        <v>::0.0.0.1/120</v>
      </c>
    </row>
    <row r="90" spans="2:9" x14ac:dyDescent="0.2">
      <c r="C90" s="70" t="s">
        <v>180</v>
      </c>
      <c r="D90" s="117"/>
      <c r="E90" s="118"/>
      <c r="F90" s="70" t="str">
        <v>::192.168.0.1/120</v>
      </c>
    </row>
    <row r="91" spans="2:9" x14ac:dyDescent="0.2">
      <c r="C91" s="70" t="s">
        <v>181</v>
      </c>
      <c r="D91" s="117"/>
      <c r="E91" s="118"/>
      <c r="F91" s="70" t="str">
        <v>192.167.150.0/32</v>
      </c>
    </row>
    <row r="92" spans="2:9" x14ac:dyDescent="0.2">
      <c r="C92" s="70" t="s">
        <v>182</v>
      </c>
      <c r="D92" s="117"/>
      <c r="E92" s="118"/>
      <c r="F92" s="70" t="str">
        <v>192.168.1.0/24</v>
      </c>
    </row>
    <row r="93" spans="2:9" x14ac:dyDescent="0.2">
      <c r="C93" s="70" t="s">
        <v>183</v>
      </c>
      <c r="D93" s="117"/>
      <c r="E93" s="118"/>
      <c r="F93" s="70" t="str">
        <v>192.168.2.0/24</v>
      </c>
    </row>
    <row r="94" spans="2:9" x14ac:dyDescent="0.2">
      <c r="C94" s="70" t="s">
        <v>184</v>
      </c>
      <c r="D94" s="117"/>
      <c r="E94" s="118"/>
      <c r="F94" s="70" t="str">
        <v>192.168.3.0/22</v>
      </c>
    </row>
    <row r="95" spans="2:9" x14ac:dyDescent="0.2">
      <c r="C95" s="70" t="s">
        <v>185</v>
      </c>
      <c r="D95" s="117"/>
      <c r="E95" s="118"/>
      <c r="F95" s="70" t="str">
        <v>192.168.8.0/24</v>
      </c>
    </row>
    <row r="96" spans="2:9" x14ac:dyDescent="0.2">
      <c r="C96" s="70" t="s">
        <v>186</v>
      </c>
      <c r="D96" s="117"/>
      <c r="E96" s="118"/>
      <c r="F96" s="70" t="str">
        <v>192.168.12.0/23</v>
      </c>
    </row>
    <row r="97" spans="2:10" x14ac:dyDescent="0.2">
      <c r="C97" s="70" t="s">
        <v>187</v>
      </c>
      <c r="D97" s="117"/>
      <c r="E97" s="118"/>
      <c r="F97" s="70" t="str">
        <v>192.168.18.0/22</v>
      </c>
    </row>
    <row r="98" spans="2:10" x14ac:dyDescent="0.2">
      <c r="C98" s="71" t="s">
        <v>188</v>
      </c>
      <c r="D98" s="119"/>
      <c r="E98" s="120"/>
      <c r="F98" s="71" t="str">
        <v>192.168.124.0/24</v>
      </c>
    </row>
    <row r="101" spans="2:10" ht="17" x14ac:dyDescent="0.2">
      <c r="B101" s="82" t="s">
        <v>27</v>
      </c>
      <c r="C101" s="151" t="s">
        <v>54</v>
      </c>
      <c r="D101" s="151"/>
      <c r="E101" s="151"/>
      <c r="F101" s="151"/>
      <c r="G101" s="151"/>
      <c r="H101" s="151"/>
      <c r="I101" s="15"/>
      <c r="J101" s="15"/>
    </row>
    <row r="102" spans="2:10" x14ac:dyDescent="0.2">
      <c r="B102" s="68" t="s">
        <v>210</v>
      </c>
      <c r="C102" s="155" t="s">
        <v>192</v>
      </c>
      <c r="D102" s="156"/>
      <c r="E102" s="156"/>
      <c r="F102" s="156"/>
      <c r="G102" s="156"/>
      <c r="H102" s="157"/>
      <c r="I102" s="15"/>
      <c r="J102" s="15"/>
    </row>
    <row r="103" spans="2:10" x14ac:dyDescent="0.2">
      <c r="B103" s="20"/>
      <c r="C103" s="20"/>
      <c r="D103" s="20"/>
      <c r="E103" s="20"/>
      <c r="F103" s="20"/>
      <c r="G103" s="20"/>
      <c r="H103" s="20"/>
    </row>
    <row r="104" spans="2:10" x14ac:dyDescent="0.2">
      <c r="B104" s="19" t="s">
        <v>38</v>
      </c>
      <c r="C104" t="s">
        <v>119</v>
      </c>
    </row>
    <row r="105" spans="2:10" x14ac:dyDescent="0.2">
      <c r="C105" s="56" t="s">
        <v>266</v>
      </c>
    </row>
    <row r="106" spans="2:10" ht="31.5" customHeight="1" x14ac:dyDescent="0.2">
      <c r="B106" s="19"/>
      <c r="C106" s="150" t="s">
        <v>163</v>
      </c>
      <c r="D106" s="150"/>
      <c r="E106" s="150"/>
      <c r="F106" s="150"/>
      <c r="G106" s="150"/>
      <c r="H106" s="150"/>
    </row>
    <row r="107" spans="2:10" x14ac:dyDescent="0.2">
      <c r="B107" s="19"/>
      <c r="C107" s="57"/>
    </row>
    <row r="108" spans="2:10" x14ac:dyDescent="0.2">
      <c r="B108" s="42" t="s">
        <v>121</v>
      </c>
      <c r="C108" s="99" t="s">
        <v>175</v>
      </c>
      <c r="D108" s="99"/>
      <c r="E108" s="99"/>
      <c r="F108" s="99"/>
      <c r="G108" s="99"/>
      <c r="H108" s="99"/>
    </row>
    <row r="109" spans="2:10" ht="15.75" customHeight="1" x14ac:dyDescent="0.2">
      <c r="C109" s="98" t="s">
        <v>267</v>
      </c>
      <c r="D109" s="98"/>
      <c r="E109" s="98"/>
      <c r="F109" s="98"/>
      <c r="G109" s="98"/>
      <c r="H109" s="98"/>
    </row>
    <row r="110" spans="2:10" ht="15.75" customHeight="1" x14ac:dyDescent="0.2">
      <c r="C110" s="98" t="s">
        <v>166</v>
      </c>
      <c r="D110" s="98"/>
      <c r="E110" s="98"/>
      <c r="F110" s="98"/>
      <c r="G110" s="98"/>
      <c r="H110" s="98"/>
    </row>
    <row r="112" spans="2:10" x14ac:dyDescent="0.2">
      <c r="B112" s="14" t="s">
        <v>28</v>
      </c>
    </row>
    <row r="113" spans="2:9" ht="15" customHeight="1" x14ac:dyDescent="0.2">
      <c r="B113" s="47"/>
      <c r="C113" s="48"/>
      <c r="D113" s="64"/>
      <c r="E113" s="48"/>
      <c r="F113" s="48"/>
      <c r="G113" s="64"/>
      <c r="H113" s="16"/>
      <c r="I113" s="8"/>
    </row>
    <row r="114" spans="2:9" ht="31.5" customHeight="1" x14ac:dyDescent="0.2">
      <c r="C114" s="12" t="s">
        <v>177</v>
      </c>
      <c r="D114" s="153" t="s">
        <v>276</v>
      </c>
      <c r="E114" s="154"/>
      <c r="F114" s="72" t="s">
        <v>24</v>
      </c>
      <c r="G114" s="12" t="s">
        <v>210</v>
      </c>
    </row>
    <row r="115" spans="2:9" x14ac:dyDescent="0.2">
      <c r="C115" s="66" t="s">
        <v>193</v>
      </c>
      <c r="D115" s="115" t="s">
        <v>194</v>
      </c>
      <c r="E115" s="116"/>
      <c r="F115" s="102">
        <v>201</v>
      </c>
      <c r="G115" s="66" t="str">
        <f t="array" ref="G115:G124">ipRoute(C115:C124,D115:E124,F115)</f>
        <v>192.168.0.0/28</v>
      </c>
    </row>
    <row r="116" spans="2:9" x14ac:dyDescent="0.2">
      <c r="C116" s="67" t="s">
        <v>195</v>
      </c>
      <c r="D116" s="117" t="s">
        <v>180</v>
      </c>
      <c r="E116" s="118"/>
      <c r="F116" s="103"/>
      <c r="G116" s="67" t="str">
        <v>192.168.1.0/24</v>
      </c>
    </row>
    <row r="117" spans="2:9" x14ac:dyDescent="0.2">
      <c r="C117" s="67" t="s">
        <v>196</v>
      </c>
      <c r="D117" s="117" t="s">
        <v>197</v>
      </c>
      <c r="E117" s="118"/>
      <c r="F117" s="103"/>
      <c r="G117" s="67" t="e">
        <v>#N/A</v>
      </c>
    </row>
    <row r="118" spans="2:9" x14ac:dyDescent="0.2">
      <c r="C118" s="67" t="s">
        <v>198</v>
      </c>
      <c r="D118" s="117" t="s">
        <v>170</v>
      </c>
      <c r="E118" s="118"/>
      <c r="F118" s="103"/>
      <c r="G118" s="67" t="str">
        <v>192.168.3.0/24</v>
      </c>
    </row>
    <row r="119" spans="2:9" x14ac:dyDescent="0.2">
      <c r="C119" s="67" t="s">
        <v>193</v>
      </c>
      <c r="D119" s="117"/>
      <c r="E119" s="118"/>
      <c r="F119" s="103"/>
      <c r="G119" s="67" t="str">
        <v>192.168.0.0/28</v>
      </c>
    </row>
    <row r="120" spans="2:9" x14ac:dyDescent="0.2">
      <c r="C120" s="67" t="s">
        <v>268</v>
      </c>
      <c r="D120" s="117"/>
      <c r="E120" s="118"/>
      <c r="F120" s="103"/>
      <c r="G120" s="67" t="str">
        <v>192.168.3.0/24</v>
      </c>
    </row>
    <row r="121" spans="2:9" x14ac:dyDescent="0.2">
      <c r="C121" s="67"/>
      <c r="D121" s="117"/>
      <c r="E121" s="118"/>
      <c r="F121" s="103"/>
      <c r="G121" s="67" t="e">
        <v>#N/A</v>
      </c>
    </row>
    <row r="122" spans="2:9" x14ac:dyDescent="0.2">
      <c r="C122" s="67"/>
      <c r="D122" s="117"/>
      <c r="E122" s="118"/>
      <c r="F122" s="103"/>
      <c r="G122" s="67" t="e">
        <v>#N/A</v>
      </c>
    </row>
    <row r="123" spans="2:9" x14ac:dyDescent="0.2">
      <c r="C123" s="67"/>
      <c r="D123" s="117"/>
      <c r="E123" s="118"/>
      <c r="F123" s="103"/>
      <c r="G123" s="67" t="e">
        <v>#N/A</v>
      </c>
    </row>
    <row r="124" spans="2:9" x14ac:dyDescent="0.2">
      <c r="C124" s="53"/>
      <c r="D124" s="119"/>
      <c r="E124" s="120"/>
      <c r="F124" s="104"/>
      <c r="G124" s="53" t="e">
        <v>#N/A</v>
      </c>
    </row>
  </sheetData>
  <mergeCells count="43">
    <mergeCell ref="D122:E122"/>
    <mergeCell ref="D123:E123"/>
    <mergeCell ref="D124:E124"/>
    <mergeCell ref="C110:H110"/>
    <mergeCell ref="D114:E114"/>
    <mergeCell ref="D115:E115"/>
    <mergeCell ref="F115:F124"/>
    <mergeCell ref="D116:E116"/>
    <mergeCell ref="D117:E117"/>
    <mergeCell ref="D118:E118"/>
    <mergeCell ref="D119:E119"/>
    <mergeCell ref="D120:E120"/>
    <mergeCell ref="D121:E121"/>
    <mergeCell ref="C109:H109"/>
    <mergeCell ref="C76:H76"/>
    <mergeCell ref="C77:H77"/>
    <mergeCell ref="C81:H81"/>
    <mergeCell ref="C83:H83"/>
    <mergeCell ref="C84:H84"/>
    <mergeCell ref="D88:E88"/>
    <mergeCell ref="D89:E98"/>
    <mergeCell ref="C101:H101"/>
    <mergeCell ref="C102:H102"/>
    <mergeCell ref="C106:H106"/>
    <mergeCell ref="C108:H108"/>
    <mergeCell ref="D64:E73"/>
    <mergeCell ref="C19:H19"/>
    <mergeCell ref="C21:H21"/>
    <mergeCell ref="C22:H22"/>
    <mergeCell ref="C23:H23"/>
    <mergeCell ref="C50:H50"/>
    <mergeCell ref="C51:H51"/>
    <mergeCell ref="C55:H55"/>
    <mergeCell ref="C57:H57"/>
    <mergeCell ref="C58:H58"/>
    <mergeCell ref="C59:H59"/>
    <mergeCell ref="D63:E63"/>
    <mergeCell ref="C14:H14"/>
    <mergeCell ref="B2:H2"/>
    <mergeCell ref="B3:H3"/>
    <mergeCell ref="B5:H5"/>
    <mergeCell ref="C12:H12"/>
    <mergeCell ref="C13:H13"/>
  </mergeCells>
  <dataValidations disablePrompts="1" count="2">
    <dataValidation type="list" allowBlank="1" showInputMessage="1" showErrorMessage="1" sqref="G62 G29 G87 G113" xr:uid="{00000000-0002-0000-0500-000000000000}">
      <formula1>"TRUE,FALSE"</formula1>
    </dataValidation>
    <dataValidation type="list" allowBlank="1" showInputMessage="1" showErrorMessage="1" sqref="F28:F29 F62 F87 F113" xr:uid="{00000000-0002-0000-0500-000001000000}">
      <formula1>"TRUE,FALSE,"</formula1>
    </dataValidation>
  </dataValidations>
  <pageMargins left="0.75" right="0.75" top="1" bottom="1" header="0.5" footer="0.5"/>
  <pageSetup paperSize="9" orientation="portrait" horizontalDpi="4294967292" vertic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B2:F40"/>
  <sheetViews>
    <sheetView showGridLines="0" zoomScale="160" zoomScaleNormal="160" zoomScalePageLayoutView="90" workbookViewId="0"/>
  </sheetViews>
  <sheetFormatPr baseColWidth="10" defaultColWidth="11" defaultRowHeight="16" x14ac:dyDescent="0.2"/>
  <cols>
    <col min="1" max="1" width="2.83203125" customWidth="1"/>
    <col min="2" max="2" width="21.5" customWidth="1"/>
    <col min="3" max="3" width="22.83203125" customWidth="1"/>
    <col min="5" max="5" width="21" customWidth="1"/>
    <col min="6" max="6" width="30.1640625" customWidth="1"/>
  </cols>
  <sheetData>
    <row r="2" spans="2:6" ht="31" x14ac:dyDescent="0.35">
      <c r="B2" s="88" t="s">
        <v>219</v>
      </c>
      <c r="C2" s="88"/>
      <c r="D2" s="88"/>
      <c r="E2" s="88"/>
      <c r="F2" s="88"/>
    </row>
    <row r="3" spans="2:6" x14ac:dyDescent="0.2">
      <c r="B3" s="89" t="str">
        <f>Introduction!B3</f>
        <v>© 2013 - 2025 Nicolas Grison</v>
      </c>
      <c r="C3" s="89"/>
    </row>
    <row r="4" spans="2:6" x14ac:dyDescent="0.2">
      <c r="B4" s="20"/>
      <c r="C4" s="20"/>
    </row>
    <row r="5" spans="2:6" x14ac:dyDescent="0.2">
      <c r="B5" s="89" t="s">
        <v>220</v>
      </c>
      <c r="C5" s="89"/>
    </row>
    <row r="6" spans="2:6" x14ac:dyDescent="0.2">
      <c r="B6" s="20"/>
      <c r="C6" s="20"/>
    </row>
    <row r="7" spans="2:6" ht="17" x14ac:dyDescent="0.2">
      <c r="B7" s="82" t="s">
        <v>221</v>
      </c>
      <c r="C7" s="94" t="s">
        <v>54</v>
      </c>
      <c r="D7" s="95"/>
      <c r="E7" s="95"/>
      <c r="F7" s="146"/>
    </row>
    <row r="8" spans="2:6" ht="15" customHeight="1" x14ac:dyDescent="0.2">
      <c r="B8" s="28" t="s">
        <v>222</v>
      </c>
      <c r="C8" s="147" t="s">
        <v>223</v>
      </c>
      <c r="D8" s="148"/>
      <c r="E8" s="148"/>
      <c r="F8" s="149"/>
    </row>
    <row r="9" spans="2:6" ht="15" customHeight="1" x14ac:dyDescent="0.2">
      <c r="B9" s="24" t="s">
        <v>224</v>
      </c>
      <c r="C9" s="158" t="s">
        <v>225</v>
      </c>
      <c r="D9" s="159"/>
      <c r="E9" s="159"/>
      <c r="F9" s="160"/>
    </row>
    <row r="10" spans="2:6" ht="15" customHeight="1" x14ac:dyDescent="0.2">
      <c r="B10" s="22" t="s">
        <v>226</v>
      </c>
      <c r="C10" s="92" t="s">
        <v>227</v>
      </c>
      <c r="D10" s="93"/>
      <c r="E10" s="93"/>
      <c r="F10" s="145"/>
    </row>
    <row r="11" spans="2:6" ht="15" customHeight="1" x14ac:dyDescent="0.2">
      <c r="B11" s="22" t="s">
        <v>666</v>
      </c>
      <c r="C11" s="92" t="s">
        <v>665</v>
      </c>
      <c r="D11" s="93"/>
      <c r="E11" s="93"/>
      <c r="F11" s="145"/>
    </row>
    <row r="12" spans="2:6" x14ac:dyDescent="0.2">
      <c r="B12" s="20"/>
      <c r="C12" s="20"/>
    </row>
    <row r="13" spans="2:6" ht="15.75" customHeight="1" x14ac:dyDescent="0.2">
      <c r="B13" s="105" t="s">
        <v>228</v>
      </c>
      <c r="C13" s="105"/>
      <c r="D13" s="105"/>
      <c r="E13" s="105"/>
      <c r="F13" s="105"/>
    </row>
    <row r="15" spans="2:6" x14ac:dyDescent="0.2">
      <c r="B15" s="14" t="s">
        <v>28</v>
      </c>
    </row>
    <row r="16" spans="2:6" x14ac:dyDescent="0.2">
      <c r="B16" s="14"/>
    </row>
    <row r="17" spans="2:5" x14ac:dyDescent="0.2">
      <c r="B17" t="s">
        <v>229</v>
      </c>
    </row>
    <row r="18" spans="2:5" x14ac:dyDescent="0.2">
      <c r="B18" t="s">
        <v>230</v>
      </c>
    </row>
    <row r="20" spans="2:5" x14ac:dyDescent="0.2">
      <c r="B20" s="58"/>
      <c r="C20" s="32" t="s">
        <v>231</v>
      </c>
      <c r="D20" s="8"/>
      <c r="E20" s="32" t="s">
        <v>232</v>
      </c>
    </row>
    <row r="21" spans="2:5" ht="15" customHeight="1" x14ac:dyDescent="0.2">
      <c r="B21" s="60"/>
      <c r="C21" s="79" t="s">
        <v>180</v>
      </c>
      <c r="E21" s="79" t="s">
        <v>180</v>
      </c>
    </row>
    <row r="22" spans="2:5" ht="15" customHeight="1" x14ac:dyDescent="0.2">
      <c r="B22" s="60"/>
      <c r="C22" s="6" t="s">
        <v>181</v>
      </c>
      <c r="E22" s="6" t="s">
        <v>181</v>
      </c>
    </row>
    <row r="23" spans="2:5" ht="15" customHeight="1" x14ac:dyDescent="0.2">
      <c r="B23" s="47"/>
      <c r="C23" s="6" t="s">
        <v>181</v>
      </c>
      <c r="E23" s="6" t="s">
        <v>181</v>
      </c>
    </row>
    <row r="24" spans="2:5" x14ac:dyDescent="0.2">
      <c r="C24" s="5" t="s">
        <v>233</v>
      </c>
      <c r="E24" s="5" t="s">
        <v>233</v>
      </c>
    </row>
    <row r="25" spans="2:5" x14ac:dyDescent="0.2">
      <c r="C25" s="5" t="s">
        <v>183</v>
      </c>
      <c r="E25" s="5" t="s">
        <v>183</v>
      </c>
    </row>
    <row r="26" spans="2:5" x14ac:dyDescent="0.2">
      <c r="C26" s="5" t="s">
        <v>184</v>
      </c>
      <c r="E26" s="5" t="s">
        <v>184</v>
      </c>
    </row>
    <row r="27" spans="2:5" x14ac:dyDescent="0.2">
      <c r="C27" s="5" t="s">
        <v>185</v>
      </c>
      <c r="E27" s="5" t="s">
        <v>185</v>
      </c>
    </row>
    <row r="28" spans="2:5" x14ac:dyDescent="0.2">
      <c r="C28" s="5" t="s">
        <v>186</v>
      </c>
      <c r="E28" s="5" t="s">
        <v>186</v>
      </c>
    </row>
    <row r="29" spans="2:5" x14ac:dyDescent="0.2">
      <c r="C29" s="5" t="s">
        <v>237</v>
      </c>
      <c r="E29" s="5" t="s">
        <v>237</v>
      </c>
    </row>
    <row r="30" spans="2:5" x14ac:dyDescent="0.2">
      <c r="C30" s="5" t="s">
        <v>188</v>
      </c>
      <c r="E30" s="5" t="s">
        <v>188</v>
      </c>
    </row>
    <row r="31" spans="2:5" x14ac:dyDescent="0.2">
      <c r="C31" s="5" t="s">
        <v>234</v>
      </c>
      <c r="E31" s="5" t="s">
        <v>234</v>
      </c>
    </row>
    <row r="32" spans="2:5" x14ac:dyDescent="0.2">
      <c r="C32" s="5" t="s">
        <v>235</v>
      </c>
      <c r="E32" s="5" t="s">
        <v>235</v>
      </c>
    </row>
    <row r="33" spans="3:5" x14ac:dyDescent="0.2">
      <c r="C33" s="5" t="s">
        <v>236</v>
      </c>
      <c r="E33" s="5" t="s">
        <v>236</v>
      </c>
    </row>
    <row r="34" spans="3:5" x14ac:dyDescent="0.2">
      <c r="C34" s="5" t="s">
        <v>183</v>
      </c>
      <c r="E34" s="5" t="s">
        <v>183</v>
      </c>
    </row>
    <row r="35" spans="3:5" x14ac:dyDescent="0.2">
      <c r="C35" s="5" t="s">
        <v>269</v>
      </c>
      <c r="E35" s="5" t="s">
        <v>269</v>
      </c>
    </row>
    <row r="36" spans="3:5" x14ac:dyDescent="0.2">
      <c r="C36" s="5" t="s">
        <v>270</v>
      </c>
      <c r="E36" s="5" t="s">
        <v>270</v>
      </c>
    </row>
    <row r="37" spans="3:5" x14ac:dyDescent="0.2">
      <c r="C37" s="5" t="s">
        <v>271</v>
      </c>
      <c r="E37" s="5" t="s">
        <v>271</v>
      </c>
    </row>
    <row r="38" spans="3:5" x14ac:dyDescent="0.2">
      <c r="C38" s="5" t="s">
        <v>238</v>
      </c>
      <c r="E38" s="5" t="s">
        <v>238</v>
      </c>
    </row>
    <row r="39" spans="3:5" x14ac:dyDescent="0.2">
      <c r="C39" s="5" t="s">
        <v>239</v>
      </c>
      <c r="E39" s="5" t="s">
        <v>239</v>
      </c>
    </row>
    <row r="40" spans="3:5" x14ac:dyDescent="0.2">
      <c r="C40" s="1" t="s">
        <v>240</v>
      </c>
      <c r="E40" s="1" t="s">
        <v>240</v>
      </c>
    </row>
  </sheetData>
  <mergeCells count="9">
    <mergeCell ref="C11:F11"/>
    <mergeCell ref="B13:F13"/>
    <mergeCell ref="B2:F2"/>
    <mergeCell ref="B3:C3"/>
    <mergeCell ref="B5:C5"/>
    <mergeCell ref="C7:F7"/>
    <mergeCell ref="C8:F8"/>
    <mergeCell ref="C9:F9"/>
    <mergeCell ref="C10:F10"/>
  </mergeCells>
  <pageMargins left="0.75" right="0.75" top="1" bottom="1" header="0.5" footer="0.5"/>
  <pageSetup paperSize="9" orientation="portrait" horizontalDpi="4294967292" verticalDpi="4294967292"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F27"/>
  <sheetViews>
    <sheetView showGridLines="0" zoomScale="80" zoomScaleNormal="80" zoomScalePageLayoutView="90" workbookViewId="0"/>
  </sheetViews>
  <sheetFormatPr baseColWidth="10" defaultColWidth="11" defaultRowHeight="16" x14ac:dyDescent="0.2"/>
  <cols>
    <col min="1" max="1" width="2.83203125" customWidth="1"/>
    <col min="2" max="2" width="22" customWidth="1"/>
    <col min="3" max="4" width="60.6640625" customWidth="1"/>
    <col min="5" max="5" width="21" customWidth="1"/>
  </cols>
  <sheetData>
    <row r="2" spans="2:6" ht="31" x14ac:dyDescent="0.35">
      <c r="B2" s="88" t="s">
        <v>241</v>
      </c>
      <c r="C2" s="88"/>
      <c r="D2" s="88"/>
    </row>
    <row r="3" spans="2:6" x14ac:dyDescent="0.2">
      <c r="B3" s="89" t="str">
        <f>Introduction!B3</f>
        <v>© 2013 - 2025 Nicolas Grison</v>
      </c>
      <c r="C3" s="89"/>
      <c r="D3" s="89"/>
    </row>
    <row r="4" spans="2:6" x14ac:dyDescent="0.2">
      <c r="B4" s="20"/>
      <c r="C4" s="20"/>
      <c r="D4" s="20"/>
    </row>
    <row r="5" spans="2:6" x14ac:dyDescent="0.2">
      <c r="B5" s="89" t="s">
        <v>242</v>
      </c>
      <c r="C5" s="89"/>
      <c r="D5" s="89"/>
    </row>
    <row r="6" spans="2:6" x14ac:dyDescent="0.2">
      <c r="B6" s="20"/>
      <c r="C6" s="20"/>
      <c r="D6" s="20"/>
    </row>
    <row r="7" spans="2:6" x14ac:dyDescent="0.2">
      <c r="B7" s="20"/>
      <c r="C7" s="20"/>
      <c r="D7" s="20"/>
    </row>
    <row r="8" spans="2:6" x14ac:dyDescent="0.2">
      <c r="B8" s="40" t="s">
        <v>272</v>
      </c>
      <c r="C8" s="20"/>
      <c r="D8" s="20"/>
    </row>
    <row r="10" spans="2:6" ht="17" x14ac:dyDescent="0.2">
      <c r="B10" s="29"/>
      <c r="C10" s="29" t="s">
        <v>244</v>
      </c>
      <c r="D10" s="29" t="s">
        <v>245</v>
      </c>
    </row>
    <row r="11" spans="2:6" ht="34" x14ac:dyDescent="0.2">
      <c r="B11" s="78" t="s">
        <v>273</v>
      </c>
      <c r="C11" s="80" t="s">
        <v>274</v>
      </c>
      <c r="D11" s="80" t="s">
        <v>275</v>
      </c>
    </row>
    <row r="12" spans="2:6" x14ac:dyDescent="0.2">
      <c r="B12" s="20"/>
      <c r="C12" s="20"/>
      <c r="D12" s="20"/>
    </row>
    <row r="13" spans="2:6" x14ac:dyDescent="0.2">
      <c r="B13" s="40" t="s">
        <v>243</v>
      </c>
      <c r="C13" s="20"/>
      <c r="D13" s="20"/>
    </row>
    <row r="15" spans="2:6" ht="17" x14ac:dyDescent="0.2">
      <c r="B15" s="29" t="s">
        <v>27</v>
      </c>
      <c r="C15" s="29" t="s">
        <v>244</v>
      </c>
      <c r="D15" s="29" t="s">
        <v>245</v>
      </c>
      <c r="E15" s="15"/>
      <c r="F15" s="15"/>
    </row>
    <row r="16" spans="2:6" ht="15" customHeight="1" x14ac:dyDescent="0.2">
      <c r="B16" s="78" t="s">
        <v>246</v>
      </c>
      <c r="C16" s="80" t="s">
        <v>247</v>
      </c>
      <c r="D16" s="80" t="s">
        <v>248</v>
      </c>
      <c r="E16" s="15"/>
      <c r="F16" s="15"/>
    </row>
    <row r="17" spans="2:6" ht="51" x14ac:dyDescent="0.2">
      <c r="B17" s="78" t="s">
        <v>249</v>
      </c>
      <c r="C17" s="80" t="s">
        <v>250</v>
      </c>
      <c r="D17" s="80" t="s">
        <v>251</v>
      </c>
      <c r="E17" s="15"/>
      <c r="F17" s="15"/>
    </row>
    <row r="18" spans="2:6" ht="51" x14ac:dyDescent="0.2">
      <c r="B18" s="78" t="s">
        <v>252</v>
      </c>
      <c r="C18" s="15" t="s">
        <v>253</v>
      </c>
      <c r="D18" s="80" t="s">
        <v>254</v>
      </c>
      <c r="E18" s="15"/>
      <c r="F18" s="15"/>
    </row>
    <row r="19" spans="2:6" ht="34" x14ac:dyDescent="0.2">
      <c r="B19" s="78" t="s">
        <v>255</v>
      </c>
      <c r="C19" s="80" t="s">
        <v>256</v>
      </c>
      <c r="D19" s="80" t="s">
        <v>257</v>
      </c>
      <c r="E19" s="15"/>
      <c r="F19" s="15"/>
    </row>
    <row r="20" spans="2:6" ht="34" x14ac:dyDescent="0.2">
      <c r="B20" s="78" t="s">
        <v>258</v>
      </c>
      <c r="C20" s="80" t="s">
        <v>259</v>
      </c>
      <c r="D20" s="80" t="s">
        <v>260</v>
      </c>
      <c r="E20" s="15"/>
      <c r="F20" s="15"/>
    </row>
    <row r="23" spans="2:6" x14ac:dyDescent="0.2">
      <c r="B23" s="40" t="s">
        <v>261</v>
      </c>
      <c r="C23" s="20"/>
      <c r="D23" s="20"/>
    </row>
    <row r="25" spans="2:6" ht="17" x14ac:dyDescent="0.2">
      <c r="B25" s="29"/>
      <c r="C25" s="29" t="s">
        <v>244</v>
      </c>
      <c r="D25" s="29" t="s">
        <v>245</v>
      </c>
      <c r="E25" s="15"/>
      <c r="F25" s="15"/>
    </row>
    <row r="26" spans="2:6" ht="34" x14ac:dyDescent="0.2">
      <c r="B26" s="78" t="s">
        <v>262</v>
      </c>
      <c r="C26" s="80" t="s">
        <v>260</v>
      </c>
      <c r="D26" s="80" t="s">
        <v>263</v>
      </c>
      <c r="E26" s="15"/>
      <c r="F26" s="15"/>
    </row>
    <row r="27" spans="2:6" ht="17" x14ac:dyDescent="0.2">
      <c r="B27" s="78" t="s">
        <v>2</v>
      </c>
      <c r="C27" s="81" t="s">
        <v>260</v>
      </c>
      <c r="D27" s="80" t="s">
        <v>264</v>
      </c>
      <c r="E27" s="15"/>
      <c r="F27" s="15"/>
    </row>
  </sheetData>
  <mergeCells count="3">
    <mergeCell ref="B2:D2"/>
    <mergeCell ref="B3:D3"/>
    <mergeCell ref="B5:D5"/>
  </mergeCells>
  <pageMargins left="0.75" right="0.75" top="1" bottom="1" header="0.5" footer="0.5"/>
  <pageSetup paperSize="9"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CBDB5-D4C6-364F-8076-E5307F7336C1}">
  <sheetPr codeName="Sheet12"/>
  <dimension ref="A1:I32"/>
  <sheetViews>
    <sheetView workbookViewId="0"/>
  </sheetViews>
  <sheetFormatPr baseColWidth="10" defaultRowHeight="16" x14ac:dyDescent="0.2"/>
  <cols>
    <col min="1" max="1" width="25.33203125" customWidth="1"/>
    <col min="2" max="2" width="14.33203125" bestFit="1" customWidth="1"/>
    <col min="3" max="3" width="33.83203125" bestFit="1" customWidth="1"/>
    <col min="4" max="4" width="23.6640625" bestFit="1" customWidth="1"/>
    <col min="6" max="6" width="13.5" bestFit="1" customWidth="1"/>
    <col min="10" max="10" width="11.1640625" bestFit="1" customWidth="1"/>
  </cols>
  <sheetData>
    <row r="1" spans="1:9" x14ac:dyDescent="0.2">
      <c r="A1" s="14" t="s">
        <v>672</v>
      </c>
    </row>
    <row r="4" spans="1:9" x14ac:dyDescent="0.2">
      <c r="A4" t="s">
        <v>667</v>
      </c>
      <c r="B4" t="s">
        <v>193</v>
      </c>
      <c r="C4" cm="1">
        <f t="array" ref="C4">SUM(_xlfn.TEXTSPLIT(B4,".")*256^_xlfn.SEQUENCE(,4, 3,-1))</f>
        <v>3232235521</v>
      </c>
      <c r="H4" t="s">
        <v>193</v>
      </c>
      <c r="I4" t="str" cm="1">
        <f t="array" ref="I4:I6">H4:H6</f>
        <v>192.168.0.1</v>
      </c>
    </row>
    <row r="5" spans="1:9" x14ac:dyDescent="0.2">
      <c r="A5" t="s">
        <v>668</v>
      </c>
      <c r="B5" t="s">
        <v>193</v>
      </c>
      <c r="C5" t="str" cm="1">
        <f t="array" ref="C5">TEXT(DEC2BIN(INDEX(_xlfn.TEXTSPLIT(B5,"."),1)),"00000000")&amp;TEXT(DEC2BIN(INDEX(_xlfn.TEXTSPLIT(B5,"."),2)),"00000000")&amp;TEXT(DEC2BIN(INDEX(_xlfn.TEXTSPLIT(B5,"."),3)),"00000000")&amp;TEXT(DEC2BIN(INDEX(_xlfn.TEXTSPLIT(B5,"."),4)),"00000000")</f>
        <v>11000000101010000000000000000001</v>
      </c>
      <c r="H5" t="s">
        <v>193</v>
      </c>
      <c r="I5" t="str">
        <v>192.168.0.1</v>
      </c>
    </row>
    <row r="6" spans="1:9" x14ac:dyDescent="0.2">
      <c r="A6" t="s">
        <v>669</v>
      </c>
      <c r="B6" t="s">
        <v>193</v>
      </c>
      <c r="C6" t="str">
        <f>TEXT(LEFT(B6,FIND(".",B6,1)-1),"000") &amp; "." &amp;
TEXT(MID(B6,FIND( ".",B6,1)+1,FIND(".",B6,FIND(".",B6,1)+1)-FIND(".",B6,1)-1),"000") &amp; "." &amp;
TEXT(MID(B6,FIND(".",B6,FIND(".",B6,1)+1)+1,FIND(".",B6, FIND(".",B6,FIND(".",B6,1)+1)+1)-FIND(".",B6,FIND(".",B6,1)+1)-1), "000") &amp; "." &amp;
TEXT(RIGHT(B6,LEN(B6)-FIND(".",B6,FIND(".",B6,FIND( ".",B6,1)+1)+1)),"000")</f>
        <v>192.168.000.001</v>
      </c>
      <c r="D6" t="s">
        <v>670</v>
      </c>
      <c r="H6" t="s">
        <v>193</v>
      </c>
      <c r="I6" t="str">
        <v>192.168.0.1</v>
      </c>
    </row>
    <row r="7" spans="1:9" x14ac:dyDescent="0.2">
      <c r="C7" t="str">
        <f>_xlfn.LET(
_xlpm.ip, B8,
_xlpm.a, TEXT(_xlfn.TEXTBEFORE(_xlpm.ip,".",1),"000"),
_xlpm.b, TEXT(_xlfn.TEXTAFTER(_xlfn.TEXTBEFORE(_xlpm.ip,".",2),".",1),"000"),
_xlpm.c, TEXT(_xlfn.TEXTAFTER(_xlfn.TEXTBEFORE(_xlpm.ip,".",3),".",2),"000"),
_xlpm.d, TEXT(_xlfn.TEXTAFTER(_xlfn.TEXTBEFORE(_xlpm.ip,"/",1),".",3),"000"),
_xlpm.a &amp; "." &amp; _xlpm.b &amp; "." &amp; _xlpm.c &amp; "." &amp; _xlpm.d)</f>
        <v>192.168.000.001</v>
      </c>
      <c r="D7" t="s">
        <v>670</v>
      </c>
    </row>
    <row r="8" spans="1:9" x14ac:dyDescent="0.2">
      <c r="A8" t="s">
        <v>671</v>
      </c>
      <c r="B8" t="s">
        <v>208</v>
      </c>
      <c r="C8" t="str">
        <f>_xlfn.LET(
_xlpm.ip, B8,
_xlpm.a, TEXT(_xlfn.TEXTBEFORE(_xlpm.ip,".",1),"000"),
_xlpm.b, TEXT(_xlfn.TEXTAFTER(_xlfn.TEXTBEFORE(_xlpm.ip,".",2),".",1),"000"),
_xlpm.c, TEXT(_xlfn.TEXTAFTER(_xlfn.TEXTBEFORE(_xlpm.ip,".",3),".",2),"000"),
_xlpm.d, TEXT(_xlfn.TEXTAFTER(_xlfn.TEXTBEFORE(_xlpm.ip,"/",1),".",3),"000"),
_xlpm.z, _xlfn.TEXTAFTER(_xlpm.ip,"/",1),
_xlpm.a &amp; "." &amp; _xlpm.b &amp; "." &amp; _xlpm.c &amp; "." &amp; _xlpm.d &amp; "/" &amp; _xlpm.z)</f>
        <v>192.168.000.001/24</v>
      </c>
      <c r="D8" t="s">
        <v>670</v>
      </c>
    </row>
    <row r="14" spans="1:9" x14ac:dyDescent="0.2">
      <c r="A14" t="s">
        <v>680</v>
      </c>
      <c r="C14" t="s">
        <v>681</v>
      </c>
    </row>
    <row r="15" spans="1:9" x14ac:dyDescent="0.2">
      <c r="A15" s="161" t="s">
        <v>682</v>
      </c>
      <c r="B15" t="s">
        <v>683</v>
      </c>
      <c r="C15" s="87" t="str" cm="1">
        <f t="array" ref="C15:C17">_xlfn.LAMBDA(_xlpm.cell,
_xlfn.TEXTBEFORE(_xlpm.cell,"/")
)(_xlfn.ANCHORARRAY(F15))</f>
        <v>1.2.3.4</v>
      </c>
      <c r="F15" t="str" cm="1">
        <f t="array" ref="F15:F17">_xlfn.VSTACK("1.2.3.4/8","5.6.7.8/12","10.11.12.13/24")</f>
        <v>1.2.3.4/8</v>
      </c>
    </row>
    <row r="16" spans="1:9" x14ac:dyDescent="0.2">
      <c r="A16" s="161"/>
      <c r="C16" t="str">
        <v>5.6.7.8</v>
      </c>
      <c r="F16" t="str">
        <v>5.6.7.8/12</v>
      </c>
    </row>
    <row r="17" spans="1:6" x14ac:dyDescent="0.2">
      <c r="A17" s="161"/>
      <c r="C17" t="str">
        <v>10.11.12.13</v>
      </c>
      <c r="F17" t="str">
        <v>10.11.12.13/24</v>
      </c>
    </row>
    <row r="18" spans="1:6" x14ac:dyDescent="0.2">
      <c r="A18" s="161"/>
      <c r="B18" t="s">
        <v>685</v>
      </c>
      <c r="C18" t="str" cm="1">
        <f t="array" ref="C18:C20">_xlfn.LAMBDA(_xlpm.cell,
_xlfn.TEXTAFTER(_xlpm.cell,"/")
)(_xlfn.ANCHORARRAY(F15))</f>
        <v>8</v>
      </c>
    </row>
    <row r="19" spans="1:6" x14ac:dyDescent="0.2">
      <c r="C19" t="str">
        <v>12</v>
      </c>
    </row>
    <row r="20" spans="1:6" x14ac:dyDescent="0.2">
      <c r="C20" t="str">
        <v>24</v>
      </c>
    </row>
    <row r="21" spans="1:6" x14ac:dyDescent="0.2">
      <c r="B21" t="s">
        <v>686</v>
      </c>
      <c r="C21" t="str" cm="1">
        <f t="array" ref="C21:C23">_xlfn.LAMBDA(_xlpm.cell,
_xlfn.LET(
_xlpm.ip,_xlfn.TEXTBEFORE(_xlpm.cell,"/"),
_xlpm.pfx,_xlfn.TEXTAFTER(_xlpm.cell,"/"),
_xlpm.octet1,VALUE(_xlfn.TEXTBEFORE(_xlpm.ip,".")),
_xlpm.octet2,VALUE(_xlfn.TEXTAFTER(_xlfn.TEXTBEFORE(_xlpm.ip,".",2),".")),
_xlpm.octet3,VALUE(_xlfn.TEXTAFTER(_xlfn.TEXTBEFORE(_xlpm.ip,".",3),".",2)),
_xlpm.octet4,VALUE(_xlfn.TEXTAFTER(_xlpm.ip,".",3)),
_xlpm.outofbound,OR(_xlpm.octet1&lt;0,_xlpm.octet1&gt;255,_xlpm.octet2&lt;0,_xlpm.octet2&gt;255,_xlpm.octet3&lt;0,_xlpm.octet3&gt;255,_xlpm.octet4&lt;0,_xlpm.octet4&gt;255),
IF(_xlpm.outofbound,NA(), _xlpm.octet1 &amp; "." &amp; _xlpm.octet2 &amp; "." &amp; _xlpm.octet3 &amp; "." &amp; _xlpm.octet4 )))(_xlfn.ANCHORARRAY(F15))</f>
        <v>1.2.3.4</v>
      </c>
    </row>
    <row r="22" spans="1:6" x14ac:dyDescent="0.2">
      <c r="C22" t="str">
        <v>5.6.7.8</v>
      </c>
    </row>
    <row r="23" spans="1:6" x14ac:dyDescent="0.2">
      <c r="C23" t="str">
        <v>10.11.12.13</v>
      </c>
    </row>
    <row r="24" spans="1:6" x14ac:dyDescent="0.2">
      <c r="B24" t="s">
        <v>687</v>
      </c>
      <c r="C24" cm="1">
        <f t="array" ref="C24:C26">_xlfn.LAMBDA(_xlpm.cell,_xlpm.offset1,_xlpm.offset2,_xlpm.offset3,_xlpm.offset4,
_xlfn.LET(
_xlpm.pfx,VALUE(_xlfn.TEXTAFTER(_xlpm.cell,"/")),
_xlpm.outofbound,OR(_xlpm.pfx&lt;0,_xlpm.pfx&gt;32),
IF(_xlpm.outofbound, NA(), _xlpm.pfx )))(_xlfn.ANCHORARRAY(F15),0,0,0,12)</f>
        <v>8</v>
      </c>
    </row>
    <row r="25" spans="1:6" x14ac:dyDescent="0.2">
      <c r="C25">
        <v>12</v>
      </c>
    </row>
    <row r="26" spans="1:6" x14ac:dyDescent="0.2">
      <c r="C26">
        <v>24</v>
      </c>
    </row>
    <row r="27" spans="1:6" x14ac:dyDescent="0.2">
      <c r="B27" t="s">
        <v>201</v>
      </c>
      <c r="C27" t="str" cm="1">
        <f t="array" ref="C27:C29">_xlfn.LAMBDA(_xlpm.cell,_xlpm.offset1,_xlpm.offset2,_xlpm.offset3,_xlpm.offset4,
_xlfn.LET(
_xlpm.ip,_xlfn.TEXTBEFORE(_xlpm.cell,"/"),
_xlpm.pfx,_xlfn.TEXTAFTER(_xlpm.cell,"/"),
_xlpm.octet1,VALUE(_xlfn.TEXTBEFORE(_xlpm.ip,".")) + _xlpm.offset1,
_xlpm.octet2,VALUE(_xlfn.TEXTAFTER(_xlfn.TEXTBEFORE(_xlpm.ip,".",2),".")) + _xlpm.offset2,
_xlpm.octet3,VALUE(_xlfn.TEXTAFTER(_xlfn.TEXTBEFORE(_xlpm.ip,".",3),".",2)) +_xlpm.offset3,
_xlpm.octet4,VALUE(_xlfn.TEXTAFTER(_xlpm.ip,".",3)) + _xlpm.offset4,
_xlpm.outofbound,OR(_xlpm.octet1&lt;0,_xlpm.octet1&gt;255,_xlpm.octet2&lt;0,_xlpm.octet2&gt;255,_xlpm.octet3&lt;0,_xlpm.octet3&gt;255,_xlpm.octet4&lt;0,_xlpm.octet4&gt;255),
IF(_xlpm.outofbound,NA(), _xlpm.octet1 &amp; "." &amp; _xlpm.octet2 &amp; "." &amp; _xlpm.octet3 &amp; "." &amp; _xlpm.octet4 )))(_xlfn.ANCHORARRAY(F15),0,0,0,12)</f>
        <v>1.2.3.16</v>
      </c>
    </row>
    <row r="28" spans="1:6" x14ac:dyDescent="0.2">
      <c r="C28" t="str">
        <v>5.6.7.20</v>
      </c>
    </row>
    <row r="29" spans="1:6" x14ac:dyDescent="0.2">
      <c r="C29" t="str">
        <v>10.11.12.25</v>
      </c>
    </row>
    <row r="30" spans="1:6" x14ac:dyDescent="0.2">
      <c r="B30" t="s">
        <v>684</v>
      </c>
      <c r="C30" t="str" cm="1">
        <f t="array" ref="C30:C32">_xlfn.LAMBDA(_xlpm.cell,_xlpm.offset1,_xlpm.offset2,_xlpm.offset3,_xlpm.offset4,
_xlfn.LET(
_xlpm.ip,_xlfn.TEXTBEFORE(_xlpm.cell,"/"),
_xlpm.pfx,_xlfn.TEXTAFTER(_xlpm.cell,"/"),
_xlpm.octet1,VALUE(_xlfn.TEXTBEFORE(_xlpm.ip,".")) + _xlpm.offset1,
_xlpm.octet2,VALUE(_xlfn.TEXTAFTER(_xlfn.TEXTBEFORE(_xlpm.ip,".",2),".")) + _xlpm.offset2,
_xlpm.octet3,VALUE(_xlfn.TEXTAFTER(_xlfn.TEXTBEFORE(_xlpm.ip,".",3),".",2)) +_xlpm.offset3,
_xlpm.octet4,VALUE(_xlfn.TEXTAFTER(_xlpm.ip,".",3)) + _xlpm.offset4,
_xlpm.outofbound,OR(_xlpm.octet1&lt;0,_xlpm.octet1&gt;255,_xlpm.octet2&lt;0,_xlpm.octet2&gt;255,_xlpm.octet3&lt;0,_xlpm.octet3&gt;255,_xlpm.octet4&lt;0,_xlpm.octet4&gt;255),
IF(_xlpm.outofbound,NA(), _xlpm.octet1 &amp; "." &amp; _xlpm.octet2 &amp; "." &amp; _xlpm.octet3 &amp; "." &amp; _xlpm.octet4 &amp; "/" &amp; _xlpm.pfx )))(_xlfn.ANCHORARRAY(F15),0,0,0,12)</f>
        <v>1.2.3.16/8</v>
      </c>
    </row>
    <row r="31" spans="1:6" x14ac:dyDescent="0.2">
      <c r="C31" t="str">
        <v>5.6.7.20/12</v>
      </c>
    </row>
    <row r="32" spans="1:6" x14ac:dyDescent="0.2">
      <c r="C32" t="str">
        <v>10.11.12.25/24</v>
      </c>
    </row>
  </sheetData>
  <mergeCells count="1">
    <mergeCell ref="A15:A18"/>
  </mergeCells>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82FF2-B75A-9149-9384-E40060A83D0F}">
  <sheetPr codeName="Sheet13"/>
  <dimension ref="A1:H34"/>
  <sheetViews>
    <sheetView workbookViewId="0"/>
  </sheetViews>
  <sheetFormatPr baseColWidth="10" defaultRowHeight="16" x14ac:dyDescent="0.2"/>
  <cols>
    <col min="1" max="1" width="14.33203125" customWidth="1"/>
    <col min="2" max="2" width="51.33203125" customWidth="1"/>
    <col min="4" max="4" width="13.6640625" customWidth="1"/>
    <col min="6" max="6" width="17.1640625" customWidth="1"/>
    <col min="7" max="7" width="18.1640625" customWidth="1"/>
    <col min="8" max="8" width="17.33203125" customWidth="1"/>
  </cols>
  <sheetData>
    <row r="1" spans="1:8" x14ac:dyDescent="0.2">
      <c r="A1" s="49" t="s">
        <v>139</v>
      </c>
      <c r="B1" s="49" t="s">
        <v>679</v>
      </c>
      <c r="C1" s="49" t="s">
        <v>673</v>
      </c>
      <c r="D1" s="49" t="s">
        <v>674</v>
      </c>
      <c r="E1" s="49" t="s">
        <v>675</v>
      </c>
      <c r="F1" s="49" t="s">
        <v>676</v>
      </c>
      <c r="G1" s="49" t="s">
        <v>677</v>
      </c>
      <c r="H1" s="49" t="s">
        <v>678</v>
      </c>
    </row>
    <row r="2" spans="1:8" x14ac:dyDescent="0.2">
      <c r="A2" s="49">
        <v>0</v>
      </c>
      <c r="B2" s="49" t="str">
        <f>REPT("1",Table1[[#This Row],[Prefix Length]]) &amp; REPT("0",32-Table1[[#This Row],[Prefix Length]])</f>
        <v>00000000000000000000000000000000</v>
      </c>
      <c r="C2" s="49">
        <f>BIN2DEC(MID(Table1[[#This Row],[Binary]],1,8))</f>
        <v>0</v>
      </c>
      <c r="D2" s="49">
        <f>BIN2DEC(MID(Table1[[#This Row],[Binary]],9,8))</f>
        <v>0</v>
      </c>
      <c r="E2" s="49">
        <f>BIN2DEC(MID(Table1[[#This Row],[Binary]],17,8))</f>
        <v>0</v>
      </c>
      <c r="F2" s="49">
        <f>BIN2DEC(MID(Table1[[#This Row],[Binary]],25,8))</f>
        <v>0</v>
      </c>
      <c r="G2" t="str">
        <f>TEXT($C2,0)&amp;"."&amp;TEXT($D2,0)&amp;"."&amp;TEXT($E2,0)&amp;"."&amp;TEXT($F2,0)</f>
        <v>0.0.0.0</v>
      </c>
      <c r="H2" t="str">
        <f>TEXT(255-$C2,0)&amp;"."&amp;TEXT(255-$D2,0)&amp;"."&amp;TEXT(255-$E2,0)&amp;"."&amp;TEXT(255-$F2,0)</f>
        <v>255.255.255.255</v>
      </c>
    </row>
    <row r="3" spans="1:8" x14ac:dyDescent="0.2">
      <c r="A3" s="49">
        <v>1</v>
      </c>
      <c r="B3" s="49" t="str">
        <f>REPT("1",Table1[[#This Row],[Prefix Length]]) &amp; REPT("0",32-Table1[[#This Row],[Prefix Length]])</f>
        <v>10000000000000000000000000000000</v>
      </c>
      <c r="C3" s="49">
        <f>BIN2DEC(MID(Table1[[#This Row],[Binary]],1,8))</f>
        <v>128</v>
      </c>
      <c r="D3" s="49">
        <f>BIN2DEC(MID(Table1[[#This Row],[Binary]],9,8))</f>
        <v>0</v>
      </c>
      <c r="E3" s="49">
        <f>BIN2DEC(MID(Table1[[#This Row],[Binary]],17,8))</f>
        <v>0</v>
      </c>
      <c r="F3" s="49">
        <f>BIN2DEC(MID(Table1[[#This Row],[Binary]],25,8))</f>
        <v>0</v>
      </c>
      <c r="G3" t="str">
        <f t="shared" ref="G3:G34" si="0">TEXT(C3,0)&amp;"."&amp;TEXT(D3,0)&amp;"."&amp;TEXT(E3,0)&amp;"."&amp;TEXT(F3,0)</f>
        <v>128.0.0.0</v>
      </c>
      <c r="H3" t="str">
        <f t="shared" ref="H3:H34" si="1">TEXT(255-$C3,0)&amp;"."&amp;TEXT(255-$D3,0)&amp;"."&amp;TEXT(255-$E3,0)&amp;"."&amp;TEXT(255-$F3,0)</f>
        <v>127.255.255.255</v>
      </c>
    </row>
    <row r="4" spans="1:8" x14ac:dyDescent="0.2">
      <c r="A4" s="49">
        <v>2</v>
      </c>
      <c r="B4" s="49" t="str">
        <f>REPT("1",Table1[[#This Row],[Prefix Length]]) &amp; REPT("0",32-Table1[[#This Row],[Prefix Length]])</f>
        <v>11000000000000000000000000000000</v>
      </c>
      <c r="C4" s="49">
        <f>BIN2DEC(MID(Table1[[#This Row],[Binary]],1,8))</f>
        <v>192</v>
      </c>
      <c r="D4" s="49">
        <f>BIN2DEC(MID(Table1[[#This Row],[Binary]],9,8))</f>
        <v>0</v>
      </c>
      <c r="E4" s="49">
        <f>BIN2DEC(MID(Table1[[#This Row],[Binary]],17,8))</f>
        <v>0</v>
      </c>
      <c r="F4" s="49">
        <f>BIN2DEC(MID(Table1[[#This Row],[Binary]],25,8))</f>
        <v>0</v>
      </c>
      <c r="G4" t="str">
        <f t="shared" si="0"/>
        <v>192.0.0.0</v>
      </c>
      <c r="H4" t="str">
        <f t="shared" si="1"/>
        <v>63.255.255.255</v>
      </c>
    </row>
    <row r="5" spans="1:8" x14ac:dyDescent="0.2">
      <c r="A5" s="49">
        <v>3</v>
      </c>
      <c r="B5" s="49" t="str">
        <f>REPT("1",Table1[[#This Row],[Prefix Length]]) &amp; REPT("0",32-Table1[[#This Row],[Prefix Length]])</f>
        <v>11100000000000000000000000000000</v>
      </c>
      <c r="C5" s="49">
        <f>BIN2DEC(MID(Table1[[#This Row],[Binary]],1,8))</f>
        <v>224</v>
      </c>
      <c r="D5" s="49">
        <f>BIN2DEC(MID(Table1[[#This Row],[Binary]],9,8))</f>
        <v>0</v>
      </c>
      <c r="E5" s="49">
        <f>BIN2DEC(MID(Table1[[#This Row],[Binary]],17,8))</f>
        <v>0</v>
      </c>
      <c r="F5" s="49">
        <f>BIN2DEC(MID(Table1[[#This Row],[Binary]],25,8))</f>
        <v>0</v>
      </c>
      <c r="G5" t="str">
        <f t="shared" si="0"/>
        <v>224.0.0.0</v>
      </c>
      <c r="H5" t="str">
        <f t="shared" si="1"/>
        <v>31.255.255.255</v>
      </c>
    </row>
    <row r="6" spans="1:8" x14ac:dyDescent="0.2">
      <c r="A6" s="49">
        <v>4</v>
      </c>
      <c r="B6" s="49" t="str">
        <f>REPT("1",Table1[[#This Row],[Prefix Length]]) &amp; REPT("0",32-Table1[[#This Row],[Prefix Length]])</f>
        <v>11110000000000000000000000000000</v>
      </c>
      <c r="C6" s="49">
        <f>BIN2DEC(MID(Table1[[#This Row],[Binary]],1,8))</f>
        <v>240</v>
      </c>
      <c r="D6" s="49">
        <f>BIN2DEC(MID(Table1[[#This Row],[Binary]],9,8))</f>
        <v>0</v>
      </c>
      <c r="E6" s="49">
        <f>BIN2DEC(MID(Table1[[#This Row],[Binary]],17,8))</f>
        <v>0</v>
      </c>
      <c r="F6" s="49">
        <f>BIN2DEC(MID(Table1[[#This Row],[Binary]],25,8))</f>
        <v>0</v>
      </c>
      <c r="G6" t="str">
        <f t="shared" si="0"/>
        <v>240.0.0.0</v>
      </c>
      <c r="H6" t="str">
        <f t="shared" si="1"/>
        <v>15.255.255.255</v>
      </c>
    </row>
    <row r="7" spans="1:8" x14ac:dyDescent="0.2">
      <c r="A7" s="49">
        <v>5</v>
      </c>
      <c r="B7" s="49" t="str">
        <f>REPT("1",Table1[[#This Row],[Prefix Length]]) &amp; REPT("0",32-Table1[[#This Row],[Prefix Length]])</f>
        <v>11111000000000000000000000000000</v>
      </c>
      <c r="C7" s="49">
        <f>BIN2DEC(MID(Table1[[#This Row],[Binary]],1,8))</f>
        <v>248</v>
      </c>
      <c r="D7" s="49">
        <f>BIN2DEC(MID(Table1[[#This Row],[Binary]],9,8))</f>
        <v>0</v>
      </c>
      <c r="E7" s="49">
        <f>BIN2DEC(MID(Table1[[#This Row],[Binary]],17,8))</f>
        <v>0</v>
      </c>
      <c r="F7" s="49">
        <f>BIN2DEC(MID(Table1[[#This Row],[Binary]],25,8))</f>
        <v>0</v>
      </c>
      <c r="G7" t="str">
        <f t="shared" si="0"/>
        <v>248.0.0.0</v>
      </c>
      <c r="H7" t="str">
        <f t="shared" si="1"/>
        <v>7.255.255.255</v>
      </c>
    </row>
    <row r="8" spans="1:8" x14ac:dyDescent="0.2">
      <c r="A8" s="49">
        <v>6</v>
      </c>
      <c r="B8" s="49" t="str">
        <f>REPT("1",Table1[[#This Row],[Prefix Length]]) &amp; REPT("0",32-Table1[[#This Row],[Prefix Length]])</f>
        <v>11111100000000000000000000000000</v>
      </c>
      <c r="C8" s="49">
        <f>BIN2DEC(MID(Table1[[#This Row],[Binary]],1,8))</f>
        <v>252</v>
      </c>
      <c r="D8" s="49">
        <f>BIN2DEC(MID(Table1[[#This Row],[Binary]],9,8))</f>
        <v>0</v>
      </c>
      <c r="E8" s="49">
        <f>BIN2DEC(MID(Table1[[#This Row],[Binary]],17,8))</f>
        <v>0</v>
      </c>
      <c r="F8" s="49">
        <f>BIN2DEC(MID(Table1[[#This Row],[Binary]],25,8))</f>
        <v>0</v>
      </c>
      <c r="G8" t="str">
        <f t="shared" si="0"/>
        <v>252.0.0.0</v>
      </c>
      <c r="H8" t="str">
        <f t="shared" si="1"/>
        <v>3.255.255.255</v>
      </c>
    </row>
    <row r="9" spans="1:8" x14ac:dyDescent="0.2">
      <c r="A9" s="49">
        <v>7</v>
      </c>
      <c r="B9" s="49" t="str">
        <f>REPT("1",Table1[[#This Row],[Prefix Length]]) &amp; REPT("0",32-Table1[[#This Row],[Prefix Length]])</f>
        <v>11111110000000000000000000000000</v>
      </c>
      <c r="C9" s="49">
        <f>BIN2DEC(MID(Table1[[#This Row],[Binary]],1,8))</f>
        <v>254</v>
      </c>
      <c r="D9" s="49">
        <f>BIN2DEC(MID(Table1[[#This Row],[Binary]],9,8))</f>
        <v>0</v>
      </c>
      <c r="E9" s="49">
        <f>BIN2DEC(MID(Table1[[#This Row],[Binary]],17,8))</f>
        <v>0</v>
      </c>
      <c r="F9" s="49">
        <f>BIN2DEC(MID(Table1[[#This Row],[Binary]],25,8))</f>
        <v>0</v>
      </c>
      <c r="G9" t="str">
        <f t="shared" si="0"/>
        <v>254.0.0.0</v>
      </c>
      <c r="H9" t="str">
        <f t="shared" si="1"/>
        <v>1.255.255.255</v>
      </c>
    </row>
    <row r="10" spans="1:8" x14ac:dyDescent="0.2">
      <c r="A10" s="49">
        <v>8</v>
      </c>
      <c r="B10" s="49" t="str">
        <f>REPT("1",Table1[[#This Row],[Prefix Length]]) &amp; REPT("0",32-Table1[[#This Row],[Prefix Length]])</f>
        <v>11111111000000000000000000000000</v>
      </c>
      <c r="C10" s="49">
        <f>BIN2DEC(MID(Table1[[#This Row],[Binary]],1,8))</f>
        <v>255</v>
      </c>
      <c r="D10" s="49">
        <f>BIN2DEC(MID(Table1[[#This Row],[Binary]],9,8))</f>
        <v>0</v>
      </c>
      <c r="E10" s="49">
        <f>BIN2DEC(MID(Table1[[#This Row],[Binary]],17,8))</f>
        <v>0</v>
      </c>
      <c r="F10" s="49">
        <f>BIN2DEC(MID(Table1[[#This Row],[Binary]],25,8))</f>
        <v>0</v>
      </c>
      <c r="G10" t="str">
        <f t="shared" si="0"/>
        <v>255.0.0.0</v>
      </c>
      <c r="H10" t="str">
        <f t="shared" si="1"/>
        <v>0.255.255.255</v>
      </c>
    </row>
    <row r="11" spans="1:8" x14ac:dyDescent="0.2">
      <c r="A11" s="49">
        <v>9</v>
      </c>
      <c r="B11" s="49" t="str">
        <f>REPT("1",Table1[[#This Row],[Prefix Length]]) &amp; REPT("0",32-Table1[[#This Row],[Prefix Length]])</f>
        <v>11111111100000000000000000000000</v>
      </c>
      <c r="C11" s="49">
        <f>BIN2DEC(MID(Table1[[#This Row],[Binary]],1,8))</f>
        <v>255</v>
      </c>
      <c r="D11" s="49">
        <f>BIN2DEC(MID(Table1[[#This Row],[Binary]],9,8))</f>
        <v>128</v>
      </c>
      <c r="E11" s="49">
        <f>BIN2DEC(MID(Table1[[#This Row],[Binary]],17,8))</f>
        <v>0</v>
      </c>
      <c r="F11" s="49">
        <f>BIN2DEC(MID(Table1[[#This Row],[Binary]],25,8))</f>
        <v>0</v>
      </c>
      <c r="G11" t="str">
        <f t="shared" si="0"/>
        <v>255.128.0.0</v>
      </c>
      <c r="H11" t="str">
        <f t="shared" si="1"/>
        <v>0.127.255.255</v>
      </c>
    </row>
    <row r="12" spans="1:8" x14ac:dyDescent="0.2">
      <c r="A12" s="49">
        <v>10</v>
      </c>
      <c r="B12" s="49" t="str">
        <f>REPT("1",Table1[[#This Row],[Prefix Length]]) &amp; REPT("0",32-Table1[[#This Row],[Prefix Length]])</f>
        <v>11111111110000000000000000000000</v>
      </c>
      <c r="C12" s="49">
        <f>BIN2DEC(MID(Table1[[#This Row],[Binary]],1,8))</f>
        <v>255</v>
      </c>
      <c r="D12" s="49">
        <f>BIN2DEC(MID(Table1[[#This Row],[Binary]],9,8))</f>
        <v>192</v>
      </c>
      <c r="E12" s="49">
        <f>BIN2DEC(MID(Table1[[#This Row],[Binary]],17,8))</f>
        <v>0</v>
      </c>
      <c r="F12" s="49">
        <f>BIN2DEC(MID(Table1[[#This Row],[Binary]],25,8))</f>
        <v>0</v>
      </c>
      <c r="G12" t="str">
        <f t="shared" si="0"/>
        <v>255.192.0.0</v>
      </c>
      <c r="H12" t="str">
        <f t="shared" si="1"/>
        <v>0.63.255.255</v>
      </c>
    </row>
    <row r="13" spans="1:8" x14ac:dyDescent="0.2">
      <c r="A13" s="49">
        <v>11</v>
      </c>
      <c r="B13" s="49" t="str">
        <f>REPT("1",Table1[[#This Row],[Prefix Length]]) &amp; REPT("0",32-Table1[[#This Row],[Prefix Length]])</f>
        <v>11111111111000000000000000000000</v>
      </c>
      <c r="C13" s="49">
        <f>BIN2DEC(MID(Table1[[#This Row],[Binary]],1,8))</f>
        <v>255</v>
      </c>
      <c r="D13" s="49">
        <f>BIN2DEC(MID(Table1[[#This Row],[Binary]],9,8))</f>
        <v>224</v>
      </c>
      <c r="E13" s="49">
        <f>BIN2DEC(MID(Table1[[#This Row],[Binary]],17,8))</f>
        <v>0</v>
      </c>
      <c r="F13" s="49">
        <f>BIN2DEC(MID(Table1[[#This Row],[Binary]],25,8))</f>
        <v>0</v>
      </c>
      <c r="G13" t="str">
        <f t="shared" si="0"/>
        <v>255.224.0.0</v>
      </c>
      <c r="H13" t="str">
        <f t="shared" si="1"/>
        <v>0.31.255.255</v>
      </c>
    </row>
    <row r="14" spans="1:8" x14ac:dyDescent="0.2">
      <c r="A14" s="49">
        <v>12</v>
      </c>
      <c r="B14" s="49" t="str">
        <f>REPT("1",Table1[[#This Row],[Prefix Length]]) &amp; REPT("0",32-Table1[[#This Row],[Prefix Length]])</f>
        <v>11111111111100000000000000000000</v>
      </c>
      <c r="C14" s="49">
        <f>BIN2DEC(MID(Table1[[#This Row],[Binary]],1,8))</f>
        <v>255</v>
      </c>
      <c r="D14" s="49">
        <f>BIN2DEC(MID(Table1[[#This Row],[Binary]],9,8))</f>
        <v>240</v>
      </c>
      <c r="E14" s="49">
        <f>BIN2DEC(MID(Table1[[#This Row],[Binary]],17,8))</f>
        <v>0</v>
      </c>
      <c r="F14" s="49">
        <f>BIN2DEC(MID(Table1[[#This Row],[Binary]],25,8))</f>
        <v>0</v>
      </c>
      <c r="G14" t="str">
        <f t="shared" si="0"/>
        <v>255.240.0.0</v>
      </c>
      <c r="H14" t="str">
        <f t="shared" si="1"/>
        <v>0.15.255.255</v>
      </c>
    </row>
    <row r="15" spans="1:8" x14ac:dyDescent="0.2">
      <c r="A15" s="49">
        <v>13</v>
      </c>
      <c r="B15" s="49" t="str">
        <f>REPT("1",Table1[[#This Row],[Prefix Length]]) &amp; REPT("0",32-Table1[[#This Row],[Prefix Length]])</f>
        <v>11111111111110000000000000000000</v>
      </c>
      <c r="C15" s="49">
        <f>BIN2DEC(MID(Table1[[#This Row],[Binary]],1,8))</f>
        <v>255</v>
      </c>
      <c r="D15" s="49">
        <f>BIN2DEC(MID(Table1[[#This Row],[Binary]],9,8))</f>
        <v>248</v>
      </c>
      <c r="E15" s="49">
        <f>BIN2DEC(MID(Table1[[#This Row],[Binary]],17,8))</f>
        <v>0</v>
      </c>
      <c r="F15" s="49">
        <f>BIN2DEC(MID(Table1[[#This Row],[Binary]],25,8))</f>
        <v>0</v>
      </c>
      <c r="G15" t="str">
        <f t="shared" si="0"/>
        <v>255.248.0.0</v>
      </c>
      <c r="H15" t="str">
        <f t="shared" si="1"/>
        <v>0.7.255.255</v>
      </c>
    </row>
    <row r="16" spans="1:8" x14ac:dyDescent="0.2">
      <c r="A16" s="49">
        <v>14</v>
      </c>
      <c r="B16" s="49" t="str">
        <f>REPT("1",Table1[[#This Row],[Prefix Length]]) &amp; REPT("0",32-Table1[[#This Row],[Prefix Length]])</f>
        <v>11111111111111000000000000000000</v>
      </c>
      <c r="C16" s="49">
        <f>BIN2DEC(MID(Table1[[#This Row],[Binary]],1,8))</f>
        <v>255</v>
      </c>
      <c r="D16" s="49">
        <f>BIN2DEC(MID(Table1[[#This Row],[Binary]],9,8))</f>
        <v>252</v>
      </c>
      <c r="E16" s="49">
        <f>BIN2DEC(MID(Table1[[#This Row],[Binary]],17,8))</f>
        <v>0</v>
      </c>
      <c r="F16" s="49">
        <f>BIN2DEC(MID(Table1[[#This Row],[Binary]],25,8))</f>
        <v>0</v>
      </c>
      <c r="G16" t="str">
        <f t="shared" si="0"/>
        <v>255.252.0.0</v>
      </c>
      <c r="H16" t="str">
        <f t="shared" si="1"/>
        <v>0.3.255.255</v>
      </c>
    </row>
    <row r="17" spans="1:8" x14ac:dyDescent="0.2">
      <c r="A17" s="49">
        <v>15</v>
      </c>
      <c r="B17" s="49" t="str">
        <f>REPT("1",Table1[[#This Row],[Prefix Length]]) &amp; REPT("0",32-Table1[[#This Row],[Prefix Length]])</f>
        <v>11111111111111100000000000000000</v>
      </c>
      <c r="C17" s="49">
        <f>BIN2DEC(MID(Table1[[#This Row],[Binary]],1,8))</f>
        <v>255</v>
      </c>
      <c r="D17" s="49">
        <f>BIN2DEC(MID(Table1[[#This Row],[Binary]],9,8))</f>
        <v>254</v>
      </c>
      <c r="E17" s="49">
        <f>BIN2DEC(MID(Table1[[#This Row],[Binary]],17,8))</f>
        <v>0</v>
      </c>
      <c r="F17" s="49">
        <f>BIN2DEC(MID(Table1[[#This Row],[Binary]],25,8))</f>
        <v>0</v>
      </c>
      <c r="G17" t="str">
        <f t="shared" si="0"/>
        <v>255.254.0.0</v>
      </c>
      <c r="H17" t="str">
        <f t="shared" si="1"/>
        <v>0.1.255.255</v>
      </c>
    </row>
    <row r="18" spans="1:8" x14ac:dyDescent="0.2">
      <c r="A18" s="49">
        <v>16</v>
      </c>
      <c r="B18" s="49" t="str">
        <f>REPT("1",Table1[[#This Row],[Prefix Length]]) &amp; REPT("0",32-Table1[[#This Row],[Prefix Length]])</f>
        <v>11111111111111110000000000000000</v>
      </c>
      <c r="C18" s="49">
        <f>BIN2DEC(MID(Table1[[#This Row],[Binary]],1,8))</f>
        <v>255</v>
      </c>
      <c r="D18" s="49">
        <f>BIN2DEC(MID(Table1[[#This Row],[Binary]],9,8))</f>
        <v>255</v>
      </c>
      <c r="E18" s="49">
        <f>BIN2DEC(MID(Table1[[#This Row],[Binary]],17,8))</f>
        <v>0</v>
      </c>
      <c r="F18" s="49">
        <f>BIN2DEC(MID(Table1[[#This Row],[Binary]],25,8))</f>
        <v>0</v>
      </c>
      <c r="G18" t="str">
        <f t="shared" si="0"/>
        <v>255.255.0.0</v>
      </c>
      <c r="H18" t="str">
        <f t="shared" si="1"/>
        <v>0.0.255.255</v>
      </c>
    </row>
    <row r="19" spans="1:8" x14ac:dyDescent="0.2">
      <c r="A19" s="49">
        <v>17</v>
      </c>
      <c r="B19" s="49" t="str">
        <f>REPT("1",Table1[[#This Row],[Prefix Length]]) &amp; REPT("0",32-Table1[[#This Row],[Prefix Length]])</f>
        <v>11111111111111111000000000000000</v>
      </c>
      <c r="C19" s="49">
        <f>BIN2DEC(MID(Table1[[#This Row],[Binary]],1,8))</f>
        <v>255</v>
      </c>
      <c r="D19" s="49">
        <f>BIN2DEC(MID(Table1[[#This Row],[Binary]],9,8))</f>
        <v>255</v>
      </c>
      <c r="E19" s="49">
        <f>BIN2DEC(MID(Table1[[#This Row],[Binary]],17,8))</f>
        <v>128</v>
      </c>
      <c r="F19" s="49">
        <f>BIN2DEC(MID(Table1[[#This Row],[Binary]],25,8))</f>
        <v>0</v>
      </c>
      <c r="G19" t="str">
        <f t="shared" si="0"/>
        <v>255.255.128.0</v>
      </c>
      <c r="H19" t="str">
        <f t="shared" si="1"/>
        <v>0.0.127.255</v>
      </c>
    </row>
    <row r="20" spans="1:8" x14ac:dyDescent="0.2">
      <c r="A20" s="49">
        <v>18</v>
      </c>
      <c r="B20" s="49" t="str">
        <f>REPT("1",Table1[[#This Row],[Prefix Length]]) &amp; REPT("0",32-Table1[[#This Row],[Prefix Length]])</f>
        <v>11111111111111111100000000000000</v>
      </c>
      <c r="C20" s="49">
        <f>BIN2DEC(MID(Table1[[#This Row],[Binary]],1,8))</f>
        <v>255</v>
      </c>
      <c r="D20" s="49">
        <f>BIN2DEC(MID(Table1[[#This Row],[Binary]],9,8))</f>
        <v>255</v>
      </c>
      <c r="E20" s="49">
        <f>BIN2DEC(MID(Table1[[#This Row],[Binary]],17,8))</f>
        <v>192</v>
      </c>
      <c r="F20" s="49">
        <f>BIN2DEC(MID(Table1[[#This Row],[Binary]],25,8))</f>
        <v>0</v>
      </c>
      <c r="G20" t="str">
        <f t="shared" si="0"/>
        <v>255.255.192.0</v>
      </c>
      <c r="H20" t="str">
        <f t="shared" si="1"/>
        <v>0.0.63.255</v>
      </c>
    </row>
    <row r="21" spans="1:8" x14ac:dyDescent="0.2">
      <c r="A21" s="49">
        <v>19</v>
      </c>
      <c r="B21" s="49" t="str">
        <f>REPT("1",Table1[[#This Row],[Prefix Length]]) &amp; REPT("0",32-Table1[[#This Row],[Prefix Length]])</f>
        <v>11111111111111111110000000000000</v>
      </c>
      <c r="C21" s="49">
        <f>BIN2DEC(MID(Table1[[#This Row],[Binary]],1,8))</f>
        <v>255</v>
      </c>
      <c r="D21" s="49">
        <f>BIN2DEC(MID(Table1[[#This Row],[Binary]],9,8))</f>
        <v>255</v>
      </c>
      <c r="E21" s="49">
        <f>BIN2DEC(MID(Table1[[#This Row],[Binary]],17,8))</f>
        <v>224</v>
      </c>
      <c r="F21" s="49">
        <f>BIN2DEC(MID(Table1[[#This Row],[Binary]],25,8))</f>
        <v>0</v>
      </c>
      <c r="G21" t="str">
        <f t="shared" si="0"/>
        <v>255.255.224.0</v>
      </c>
      <c r="H21" t="str">
        <f t="shared" si="1"/>
        <v>0.0.31.255</v>
      </c>
    </row>
    <row r="22" spans="1:8" x14ac:dyDescent="0.2">
      <c r="A22" s="49">
        <v>20</v>
      </c>
      <c r="B22" s="49" t="str">
        <f>REPT("1",Table1[[#This Row],[Prefix Length]]) &amp; REPT("0",32-Table1[[#This Row],[Prefix Length]])</f>
        <v>11111111111111111111000000000000</v>
      </c>
      <c r="C22" s="49">
        <f>BIN2DEC(MID(Table1[[#This Row],[Binary]],1,8))</f>
        <v>255</v>
      </c>
      <c r="D22" s="49">
        <f>BIN2DEC(MID(Table1[[#This Row],[Binary]],9,8))</f>
        <v>255</v>
      </c>
      <c r="E22" s="49">
        <f>BIN2DEC(MID(Table1[[#This Row],[Binary]],17,8))</f>
        <v>240</v>
      </c>
      <c r="F22" s="49">
        <f>BIN2DEC(MID(Table1[[#This Row],[Binary]],25,8))</f>
        <v>0</v>
      </c>
      <c r="G22" t="str">
        <f t="shared" si="0"/>
        <v>255.255.240.0</v>
      </c>
      <c r="H22" t="str">
        <f t="shared" si="1"/>
        <v>0.0.15.255</v>
      </c>
    </row>
    <row r="23" spans="1:8" x14ac:dyDescent="0.2">
      <c r="A23" s="49">
        <v>21</v>
      </c>
      <c r="B23" s="49" t="str">
        <f>REPT("1",Table1[[#This Row],[Prefix Length]]) &amp; REPT("0",32-Table1[[#This Row],[Prefix Length]])</f>
        <v>11111111111111111111100000000000</v>
      </c>
      <c r="C23" s="49">
        <f>BIN2DEC(MID(Table1[[#This Row],[Binary]],1,8))</f>
        <v>255</v>
      </c>
      <c r="D23" s="49">
        <f>BIN2DEC(MID(Table1[[#This Row],[Binary]],9,8))</f>
        <v>255</v>
      </c>
      <c r="E23" s="49">
        <f>BIN2DEC(MID(Table1[[#This Row],[Binary]],17,8))</f>
        <v>248</v>
      </c>
      <c r="F23" s="49">
        <f>BIN2DEC(MID(Table1[[#This Row],[Binary]],25,8))</f>
        <v>0</v>
      </c>
      <c r="G23" t="str">
        <f t="shared" si="0"/>
        <v>255.255.248.0</v>
      </c>
      <c r="H23" t="str">
        <f t="shared" si="1"/>
        <v>0.0.7.255</v>
      </c>
    </row>
    <row r="24" spans="1:8" x14ac:dyDescent="0.2">
      <c r="A24" s="49">
        <v>22</v>
      </c>
      <c r="B24" s="49" t="str">
        <f>REPT("1",Table1[[#This Row],[Prefix Length]]) &amp; REPT("0",32-Table1[[#This Row],[Prefix Length]])</f>
        <v>11111111111111111111110000000000</v>
      </c>
      <c r="C24" s="49">
        <f>BIN2DEC(MID(Table1[[#This Row],[Binary]],1,8))</f>
        <v>255</v>
      </c>
      <c r="D24" s="49">
        <f>BIN2DEC(MID(Table1[[#This Row],[Binary]],9,8))</f>
        <v>255</v>
      </c>
      <c r="E24" s="49">
        <f>BIN2DEC(MID(Table1[[#This Row],[Binary]],17,8))</f>
        <v>252</v>
      </c>
      <c r="F24" s="49">
        <f>BIN2DEC(MID(Table1[[#This Row],[Binary]],25,8))</f>
        <v>0</v>
      </c>
      <c r="G24" t="str">
        <f t="shared" si="0"/>
        <v>255.255.252.0</v>
      </c>
      <c r="H24" t="str">
        <f t="shared" si="1"/>
        <v>0.0.3.255</v>
      </c>
    </row>
    <row r="25" spans="1:8" x14ac:dyDescent="0.2">
      <c r="A25" s="49">
        <v>23</v>
      </c>
      <c r="B25" s="49" t="str">
        <f>REPT("1",Table1[[#This Row],[Prefix Length]]) &amp; REPT("0",32-Table1[[#This Row],[Prefix Length]])</f>
        <v>11111111111111111111111000000000</v>
      </c>
      <c r="C25" s="49">
        <f>BIN2DEC(MID(Table1[[#This Row],[Binary]],1,8))</f>
        <v>255</v>
      </c>
      <c r="D25" s="49">
        <f>BIN2DEC(MID(Table1[[#This Row],[Binary]],9,8))</f>
        <v>255</v>
      </c>
      <c r="E25" s="49">
        <f>BIN2DEC(MID(Table1[[#This Row],[Binary]],17,8))</f>
        <v>254</v>
      </c>
      <c r="F25" s="49">
        <f>BIN2DEC(MID(Table1[[#This Row],[Binary]],25,8))</f>
        <v>0</v>
      </c>
      <c r="G25" t="str">
        <f t="shared" si="0"/>
        <v>255.255.254.0</v>
      </c>
      <c r="H25" t="str">
        <f t="shared" si="1"/>
        <v>0.0.1.255</v>
      </c>
    </row>
    <row r="26" spans="1:8" x14ac:dyDescent="0.2">
      <c r="A26" s="49">
        <v>24</v>
      </c>
      <c r="B26" s="49" t="str">
        <f>REPT("1",Table1[[#This Row],[Prefix Length]]) &amp; REPT("0",32-Table1[[#This Row],[Prefix Length]])</f>
        <v>11111111111111111111111100000000</v>
      </c>
      <c r="C26" s="49">
        <f>BIN2DEC(MID(Table1[[#This Row],[Binary]],1,8))</f>
        <v>255</v>
      </c>
      <c r="D26" s="49">
        <f>BIN2DEC(MID(Table1[[#This Row],[Binary]],9,8))</f>
        <v>255</v>
      </c>
      <c r="E26" s="49">
        <f>BIN2DEC(MID(Table1[[#This Row],[Binary]],17,8))</f>
        <v>255</v>
      </c>
      <c r="F26" s="49">
        <f>BIN2DEC(MID(Table1[[#This Row],[Binary]],25,8))</f>
        <v>0</v>
      </c>
      <c r="G26" t="str">
        <f t="shared" si="0"/>
        <v>255.255.255.0</v>
      </c>
      <c r="H26" t="str">
        <f t="shared" si="1"/>
        <v>0.0.0.255</v>
      </c>
    </row>
    <row r="27" spans="1:8" x14ac:dyDescent="0.2">
      <c r="A27" s="49">
        <v>25</v>
      </c>
      <c r="B27" s="49" t="str">
        <f>REPT("1",Table1[[#This Row],[Prefix Length]]) &amp; REPT("0",32-Table1[[#This Row],[Prefix Length]])</f>
        <v>11111111111111111111111110000000</v>
      </c>
      <c r="C27" s="49">
        <f>BIN2DEC(MID(Table1[[#This Row],[Binary]],1,8))</f>
        <v>255</v>
      </c>
      <c r="D27" s="49">
        <f>BIN2DEC(MID(Table1[[#This Row],[Binary]],9,8))</f>
        <v>255</v>
      </c>
      <c r="E27" s="49">
        <f>BIN2DEC(MID(Table1[[#This Row],[Binary]],17,8))</f>
        <v>255</v>
      </c>
      <c r="F27" s="49">
        <f>BIN2DEC(MID(Table1[[#This Row],[Binary]],25,8))</f>
        <v>128</v>
      </c>
      <c r="G27" t="str">
        <f t="shared" si="0"/>
        <v>255.255.255.128</v>
      </c>
      <c r="H27" t="str">
        <f t="shared" si="1"/>
        <v>0.0.0.127</v>
      </c>
    </row>
    <row r="28" spans="1:8" x14ac:dyDescent="0.2">
      <c r="A28" s="49">
        <v>26</v>
      </c>
      <c r="B28" s="49" t="str">
        <f>REPT("1",Table1[[#This Row],[Prefix Length]]) &amp; REPT("0",32-Table1[[#This Row],[Prefix Length]])</f>
        <v>11111111111111111111111111000000</v>
      </c>
      <c r="C28" s="49">
        <f>BIN2DEC(MID(Table1[[#This Row],[Binary]],1,8))</f>
        <v>255</v>
      </c>
      <c r="D28" s="49">
        <f>BIN2DEC(MID(Table1[[#This Row],[Binary]],9,8))</f>
        <v>255</v>
      </c>
      <c r="E28" s="49">
        <f>BIN2DEC(MID(Table1[[#This Row],[Binary]],17,8))</f>
        <v>255</v>
      </c>
      <c r="F28" s="49">
        <f>BIN2DEC(MID(Table1[[#This Row],[Binary]],25,8))</f>
        <v>192</v>
      </c>
      <c r="G28" t="str">
        <f t="shared" si="0"/>
        <v>255.255.255.192</v>
      </c>
      <c r="H28" t="str">
        <f t="shared" si="1"/>
        <v>0.0.0.63</v>
      </c>
    </row>
    <row r="29" spans="1:8" x14ac:dyDescent="0.2">
      <c r="A29" s="49">
        <v>27</v>
      </c>
      <c r="B29" s="49" t="str">
        <f>REPT("1",Table1[[#This Row],[Prefix Length]]) &amp; REPT("0",32-Table1[[#This Row],[Prefix Length]])</f>
        <v>11111111111111111111111111100000</v>
      </c>
      <c r="C29" s="49">
        <f>BIN2DEC(MID(Table1[[#This Row],[Binary]],1,8))</f>
        <v>255</v>
      </c>
      <c r="D29" s="49">
        <f>BIN2DEC(MID(Table1[[#This Row],[Binary]],9,8))</f>
        <v>255</v>
      </c>
      <c r="E29" s="49">
        <f>BIN2DEC(MID(Table1[[#This Row],[Binary]],17,8))</f>
        <v>255</v>
      </c>
      <c r="F29" s="49">
        <f>BIN2DEC(MID(Table1[[#This Row],[Binary]],25,8))</f>
        <v>224</v>
      </c>
      <c r="G29" t="str">
        <f t="shared" si="0"/>
        <v>255.255.255.224</v>
      </c>
      <c r="H29" t="str">
        <f t="shared" si="1"/>
        <v>0.0.0.31</v>
      </c>
    </row>
    <row r="30" spans="1:8" x14ac:dyDescent="0.2">
      <c r="A30" s="49">
        <v>28</v>
      </c>
      <c r="B30" s="49" t="str">
        <f>REPT("1",Table1[[#This Row],[Prefix Length]]) &amp; REPT("0",32-Table1[[#This Row],[Prefix Length]])</f>
        <v>11111111111111111111111111110000</v>
      </c>
      <c r="C30" s="49">
        <f>BIN2DEC(MID(Table1[[#This Row],[Binary]],1,8))</f>
        <v>255</v>
      </c>
      <c r="D30" s="49">
        <f>BIN2DEC(MID(Table1[[#This Row],[Binary]],9,8))</f>
        <v>255</v>
      </c>
      <c r="E30" s="49">
        <f>BIN2DEC(MID(Table1[[#This Row],[Binary]],17,8))</f>
        <v>255</v>
      </c>
      <c r="F30" s="49">
        <f>BIN2DEC(MID(Table1[[#This Row],[Binary]],25,8))</f>
        <v>240</v>
      </c>
      <c r="G30" t="str">
        <f t="shared" si="0"/>
        <v>255.255.255.240</v>
      </c>
      <c r="H30" t="str">
        <f t="shared" si="1"/>
        <v>0.0.0.15</v>
      </c>
    </row>
    <row r="31" spans="1:8" x14ac:dyDescent="0.2">
      <c r="A31" s="49">
        <v>29</v>
      </c>
      <c r="B31" s="49" t="str">
        <f>REPT("1",Table1[[#This Row],[Prefix Length]]) &amp; REPT("0",32-Table1[[#This Row],[Prefix Length]])</f>
        <v>11111111111111111111111111111000</v>
      </c>
      <c r="C31" s="49">
        <f>BIN2DEC(MID(Table1[[#This Row],[Binary]],1,8))</f>
        <v>255</v>
      </c>
      <c r="D31" s="49">
        <f>BIN2DEC(MID(Table1[[#This Row],[Binary]],9,8))</f>
        <v>255</v>
      </c>
      <c r="E31" s="49">
        <f>BIN2DEC(MID(Table1[[#This Row],[Binary]],17,8))</f>
        <v>255</v>
      </c>
      <c r="F31" s="49">
        <f>BIN2DEC(MID(Table1[[#This Row],[Binary]],25,8))</f>
        <v>248</v>
      </c>
      <c r="G31" t="str">
        <f t="shared" si="0"/>
        <v>255.255.255.248</v>
      </c>
      <c r="H31" t="str">
        <f t="shared" si="1"/>
        <v>0.0.0.7</v>
      </c>
    </row>
    <row r="32" spans="1:8" x14ac:dyDescent="0.2">
      <c r="A32" s="49">
        <v>30</v>
      </c>
      <c r="B32" s="49" t="str">
        <f>REPT("1",Table1[[#This Row],[Prefix Length]]) &amp; REPT("0",32-Table1[[#This Row],[Prefix Length]])</f>
        <v>11111111111111111111111111111100</v>
      </c>
      <c r="C32" s="49">
        <f>BIN2DEC(MID(Table1[[#This Row],[Binary]],1,8))</f>
        <v>255</v>
      </c>
      <c r="D32" s="49">
        <f>BIN2DEC(MID(Table1[[#This Row],[Binary]],9,8))</f>
        <v>255</v>
      </c>
      <c r="E32" s="49">
        <f>BIN2DEC(MID(Table1[[#This Row],[Binary]],17,8))</f>
        <v>255</v>
      </c>
      <c r="F32" s="49">
        <f>BIN2DEC(MID(Table1[[#This Row],[Binary]],25,8))</f>
        <v>252</v>
      </c>
      <c r="G32" t="str">
        <f t="shared" si="0"/>
        <v>255.255.255.252</v>
      </c>
      <c r="H32" t="str">
        <f t="shared" si="1"/>
        <v>0.0.0.3</v>
      </c>
    </row>
    <row r="33" spans="1:8" x14ac:dyDescent="0.2">
      <c r="A33" s="49">
        <v>31</v>
      </c>
      <c r="B33" s="49" t="str">
        <f>REPT("1",Table1[[#This Row],[Prefix Length]]) &amp; REPT("0",32-Table1[[#This Row],[Prefix Length]])</f>
        <v>11111111111111111111111111111110</v>
      </c>
      <c r="C33" s="49">
        <f>BIN2DEC(MID(Table1[[#This Row],[Binary]],1,8))</f>
        <v>255</v>
      </c>
      <c r="D33" s="49">
        <f>BIN2DEC(MID(Table1[[#This Row],[Binary]],9,8))</f>
        <v>255</v>
      </c>
      <c r="E33" s="49">
        <f>BIN2DEC(MID(Table1[[#This Row],[Binary]],17,8))</f>
        <v>255</v>
      </c>
      <c r="F33" s="49">
        <f>BIN2DEC(MID(Table1[[#This Row],[Binary]],25,8))</f>
        <v>254</v>
      </c>
      <c r="G33" t="str">
        <f t="shared" si="0"/>
        <v>255.255.255.254</v>
      </c>
      <c r="H33" t="str">
        <f t="shared" si="1"/>
        <v>0.0.0.1</v>
      </c>
    </row>
    <row r="34" spans="1:8" x14ac:dyDescent="0.2">
      <c r="A34" s="49">
        <v>32</v>
      </c>
      <c r="B34" s="49" t="str">
        <f>REPT("1",Table1[[#This Row],[Prefix Length]]) &amp; REPT("0",32-Table1[[#This Row],[Prefix Length]])</f>
        <v>11111111111111111111111111111111</v>
      </c>
      <c r="C34" s="49">
        <f>BIN2DEC(MID(Table1[[#This Row],[Binary]],1,8))</f>
        <v>255</v>
      </c>
      <c r="D34" s="49">
        <f>BIN2DEC(MID(Table1[[#This Row],[Binary]],9,8))</f>
        <v>255</v>
      </c>
      <c r="E34" s="49">
        <f>BIN2DEC(MID(Table1[[#This Row],[Binary]],17,8))</f>
        <v>255</v>
      </c>
      <c r="F34" s="49">
        <f>BIN2DEC(MID(Table1[[#This Row],[Binary]],25,8))</f>
        <v>255</v>
      </c>
      <c r="G34" t="str">
        <f t="shared" si="0"/>
        <v>255.255.255.255</v>
      </c>
      <c r="H34" t="str">
        <f t="shared" si="1"/>
        <v>0.0.0.0</v>
      </c>
    </row>
  </sheetData>
  <pageMargins left="0.7" right="0.7" top="0.75" bottom="0.75" header="0.3" footer="0.3"/>
  <pageSetup paperSize="9"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O47"/>
  <sheetViews>
    <sheetView zoomScale="70" zoomScaleNormal="70" workbookViewId="0"/>
  </sheetViews>
  <sheetFormatPr baseColWidth="10" defaultColWidth="11" defaultRowHeight="16" x14ac:dyDescent="0.2"/>
  <cols>
    <col min="1" max="1" width="33" bestFit="1" customWidth="1"/>
    <col min="2" max="2" width="7" bestFit="1" customWidth="1"/>
    <col min="3" max="3" width="9.83203125" bestFit="1" customWidth="1"/>
    <col min="4" max="4" width="9.83203125" customWidth="1"/>
    <col min="5" max="5" width="34" bestFit="1" customWidth="1"/>
    <col min="6" max="6" width="17" customWidth="1"/>
    <col min="7" max="7" width="18" customWidth="1"/>
    <col min="8" max="9" width="34.33203125" customWidth="1"/>
    <col min="10" max="10" width="29.83203125" customWidth="1"/>
    <col min="11" max="11" width="29.33203125" bestFit="1" customWidth="1"/>
    <col min="12" max="12" width="37.6640625" bestFit="1" customWidth="1"/>
    <col min="13" max="13" width="19.33203125" bestFit="1" customWidth="1"/>
    <col min="14" max="14" width="24.1640625" customWidth="1"/>
    <col min="15" max="15" width="20.1640625" bestFit="1" customWidth="1"/>
  </cols>
  <sheetData>
    <row r="1" spans="1:15" x14ac:dyDescent="0.2">
      <c r="A1" t="s">
        <v>0</v>
      </c>
      <c r="B1" t="s">
        <v>1</v>
      </c>
      <c r="C1" t="s">
        <v>2</v>
      </c>
      <c r="D1" t="s">
        <v>8</v>
      </c>
      <c r="E1" t="s">
        <v>5</v>
      </c>
      <c r="F1" t="s">
        <v>6</v>
      </c>
      <c r="G1" t="s">
        <v>17</v>
      </c>
      <c r="H1" t="s">
        <v>16</v>
      </c>
      <c r="I1" t="s">
        <v>15</v>
      </c>
      <c r="J1" t="s">
        <v>14</v>
      </c>
      <c r="K1" t="s">
        <v>62</v>
      </c>
      <c r="L1" t="s">
        <v>65</v>
      </c>
      <c r="M1" t="s">
        <v>10</v>
      </c>
      <c r="N1" t="s">
        <v>11</v>
      </c>
      <c r="O1" t="s">
        <v>12</v>
      </c>
    </row>
    <row r="2" spans="1:15" x14ac:dyDescent="0.2">
      <c r="A2" t="s">
        <v>3</v>
      </c>
      <c r="B2">
        <v>2</v>
      </c>
      <c r="D2" t="s">
        <v>9</v>
      </c>
      <c r="E2" t="str">
        <f>ipAddress($A2,$B2,$C2)</f>
        <v>192.168.0.13/24</v>
      </c>
      <c r="F2" t="str">
        <f>ipSubAddress($A2,$B2,$C2)</f>
        <v>192.168.0.0/24</v>
      </c>
      <c r="G2" t="str">
        <f>ipHostFirst($A2,$B2,$C2)</f>
        <v>192.168.0.1/24</v>
      </c>
      <c r="H2" t="str">
        <f>ipHostPrev($A2,$B2,$C2)</f>
        <v>192.168.0.12/24</v>
      </c>
      <c r="I2" t="str">
        <f>ipHostNext($A2,$B2,$C2)</f>
        <v>192.168.0.14/24</v>
      </c>
      <c r="J2" t="str">
        <f>ipHostLast($A2,$B2,$C2)</f>
        <v>192.168.0.254/24</v>
      </c>
      <c r="K2" t="str">
        <f>ipSubBroadcast($A2,$B2,$C2)</f>
        <v>192.168.0.255/24</v>
      </c>
      <c r="L2" t="str">
        <f>ipSubPrev(A2,B2,C2,D2)</f>
        <v>192.167.255.0/24</v>
      </c>
      <c r="M2" t="str">
        <f>ipSubNext(A2,B2,C2,D2)</f>
        <v>192.168.1.0/24</v>
      </c>
      <c r="N2" t="str">
        <f>ipHostCount(A2)</f>
        <v xml:space="preserve"> 254</v>
      </c>
      <c r="O2">
        <f>ipSubMask(A2,B2)</f>
        <v>24</v>
      </c>
    </row>
    <row r="3" spans="1:15" x14ac:dyDescent="0.2">
      <c r="A3" t="s">
        <v>3</v>
      </c>
      <c r="B3">
        <v>2</v>
      </c>
      <c r="C3" t="s">
        <v>7</v>
      </c>
      <c r="E3" t="str">
        <f>ipAddress(A3,B3,C3)</f>
        <v>192.168.0.25/24</v>
      </c>
      <c r="F3" t="str">
        <f>ipSubAddress(A3,B3,C3)</f>
        <v>192.168.0.12/24</v>
      </c>
      <c r="G3" t="str">
        <f t="shared" ref="G3:G47" si="0">ipHostFirst($A3,$B3,$C3)</f>
        <v>192.168.0.13/24</v>
      </c>
      <c r="H3" t="str">
        <f t="shared" ref="H3:H47" si="1">ipHostPrev($A3,$B3,$C3)</f>
        <v>192.168.0.24/24</v>
      </c>
      <c r="I3" t="str">
        <f t="shared" ref="I3:I47" si="2">ipHostNext($A3,$B3,$C3)</f>
        <v>192.168.0.26/24</v>
      </c>
      <c r="J3" t="e">
        <f t="shared" ref="J3:J47" si="3">ipHostLast($A3,$B3,$C3)</f>
        <v>#NUM!</v>
      </c>
      <c r="K3" t="e">
        <f t="shared" ref="K3:K47" si="4">ipSubBroadcast($A3,$B3,$C3)</f>
        <v>#NUM!</v>
      </c>
      <c r="L3" t="str">
        <f>ipSubPrev(A3,B3,C3,D3)</f>
        <v>192.167.255.12/24</v>
      </c>
      <c r="M3" t="str">
        <f>ipSubNext(A3,B3,C3,D3)</f>
        <v>192.168.1.12/24</v>
      </c>
      <c r="N3" t="str">
        <f t="shared" ref="N3:N47" si="5">ipHostCount(A3)</f>
        <v xml:space="preserve"> 254</v>
      </c>
      <c r="O3">
        <f t="shared" ref="O3:O47" si="6">ipSubMask(A3,B3)</f>
        <v>24</v>
      </c>
    </row>
    <row r="4" spans="1:15" x14ac:dyDescent="0.2">
      <c r="A4" t="s">
        <v>4</v>
      </c>
      <c r="B4">
        <v>2</v>
      </c>
      <c r="E4" t="str">
        <f>ipAddress(A4,B4,C4)</f>
        <v>fdef:7e67:8d2f:0:438:f6eb:ea76:7d9f/64</v>
      </c>
      <c r="F4" t="str">
        <f>ipSubAddress(A4,B4,C4)</f>
        <v>fdef:7e67:8d2f::/64</v>
      </c>
      <c r="G4" t="str">
        <f t="shared" si="0"/>
        <v>fdef:7e67:8d2f::1/64</v>
      </c>
      <c r="H4" t="str">
        <f t="shared" si="1"/>
        <v>fdef:7e67:8d2f:0:438:f6eb:ea76:7d9e/64</v>
      </c>
      <c r="I4" t="str">
        <f t="shared" si="2"/>
        <v>fdef:7e67:8d2f:0:438:f6eb:ea76:7da0/64</v>
      </c>
      <c r="J4" t="str">
        <f t="shared" si="3"/>
        <v>fdef:7e67:8d2f:0:ffff:ffff:ffff:ff7f/64</v>
      </c>
      <c r="K4" t="e">
        <f t="shared" si="4"/>
        <v>#N/A</v>
      </c>
      <c r="L4" t="str">
        <f>ipSubPrev(A4,B4,C4,D4)</f>
        <v>fdef:7e67:8d2e:ffff::/64</v>
      </c>
      <c r="M4" t="str">
        <f>ipSubNext(A4,B4,C4,D4)</f>
        <v>fdef:7e67:8d2f:1::/64</v>
      </c>
      <c r="N4" t="str">
        <f t="shared" si="5"/>
        <v xml:space="preserve"> 1.84467440737096E+19</v>
      </c>
      <c r="O4">
        <f t="shared" si="6"/>
        <v>64</v>
      </c>
    </row>
    <row r="5" spans="1:15" x14ac:dyDescent="0.2">
      <c r="A5" t="str">
        <f ca="1">RANDBETWEEN(1,255) &amp; "." &amp; RANDBETWEEN(1,255) &amp; "." &amp; RANDBETWEEN(1,255) &amp; "." &amp; RANDBETWEEN(1,255) &amp; "/" &amp; RANDBETWEEN(1,32)</f>
        <v>229.225.179.202/17</v>
      </c>
      <c r="B5">
        <v>2</v>
      </c>
      <c r="E5" t="str">
        <f t="shared" ref="E5:E47" ca="1" si="7">ipAddress(A5,B5,C5)</f>
        <v>229.225.179.202/17</v>
      </c>
      <c r="F5" t="str">
        <f t="shared" ref="F5:F47" ca="1" si="8">ipSubAddress(A5,B5,C5)</f>
        <v>229.225.128.0/17</v>
      </c>
      <c r="G5" t="str">
        <f t="shared" ca="1" si="0"/>
        <v>229.225.128.1/17</v>
      </c>
      <c r="H5" t="str">
        <f t="shared" ca="1" si="1"/>
        <v>229.225.179.201/17</v>
      </c>
      <c r="I5" t="str">
        <f t="shared" ca="1" si="2"/>
        <v>229.225.179.203/17</v>
      </c>
      <c r="J5" t="str">
        <f t="shared" ca="1" si="3"/>
        <v>229.225.255.254/17</v>
      </c>
      <c r="K5" t="str">
        <f t="shared" ca="1" si="4"/>
        <v>229.225.255.255/17</v>
      </c>
      <c r="L5" t="str">
        <f t="shared" ref="L5:L47" ca="1" si="9">ipSubPrev(A5,B5,C5,D5)</f>
        <v>229.225.0.0/17</v>
      </c>
      <c r="M5" t="str">
        <f t="shared" ref="M5:M47" ca="1" si="10">ipSubNext(A5,B5,C5,D5)</f>
        <v>229.226.0.0/17</v>
      </c>
      <c r="N5" t="str">
        <f t="shared" ca="1" si="5"/>
        <v xml:space="preserve"> 32766</v>
      </c>
      <c r="O5">
        <f t="shared" ca="1" si="6"/>
        <v>17</v>
      </c>
    </row>
    <row r="6" spans="1:15" x14ac:dyDescent="0.2">
      <c r="A6" t="str">
        <f t="shared" ref="A6:A47" ca="1" si="11">RANDBETWEEN(1,255) &amp; "." &amp; RANDBETWEEN(1,255) &amp; "." &amp; RANDBETWEEN(1,255) &amp; "." &amp; RANDBETWEEN(1,255) &amp; "/" &amp; RANDBETWEEN(1,32)</f>
        <v>165.202.189.45/15</v>
      </c>
      <c r="B6">
        <v>2</v>
      </c>
      <c r="E6" t="str">
        <f t="shared" ca="1" si="7"/>
        <v>165.202.189.45/15</v>
      </c>
      <c r="F6" t="str">
        <f t="shared" ca="1" si="8"/>
        <v>165.202.0.0/15</v>
      </c>
      <c r="G6" t="str">
        <f t="shared" ca="1" si="0"/>
        <v>165.202.0.1/15</v>
      </c>
      <c r="H6" t="str">
        <f t="shared" ca="1" si="1"/>
        <v>165.202.189.44/15</v>
      </c>
      <c r="I6" t="str">
        <f t="shared" ca="1" si="2"/>
        <v>165.202.189.46/15</v>
      </c>
      <c r="J6" t="str">
        <f t="shared" ca="1" si="3"/>
        <v>165.203.255.254/15</v>
      </c>
      <c r="K6" t="str">
        <f t="shared" ca="1" si="4"/>
        <v>165.203.255.255/15</v>
      </c>
      <c r="L6" t="str">
        <f t="shared" ca="1" si="9"/>
        <v>165.200.0.0/15</v>
      </c>
      <c r="M6" t="str">
        <f t="shared" ca="1" si="10"/>
        <v>165.204.0.0/15</v>
      </c>
      <c r="N6" t="str">
        <f t="shared" ca="1" si="5"/>
        <v xml:space="preserve"> 131070</v>
      </c>
      <c r="O6">
        <f t="shared" ca="1" si="6"/>
        <v>15</v>
      </c>
    </row>
    <row r="7" spans="1:15" x14ac:dyDescent="0.2">
      <c r="A7" t="str">
        <f t="shared" ca="1" si="11"/>
        <v>103.69.180.20/13</v>
      </c>
      <c r="B7">
        <v>2</v>
      </c>
      <c r="E7" t="str">
        <f t="shared" ca="1" si="7"/>
        <v>103.69.180.20/13</v>
      </c>
      <c r="F7" t="str">
        <f t="shared" ca="1" si="8"/>
        <v>103.64.0.0/13</v>
      </c>
      <c r="G7" t="str">
        <f t="shared" ca="1" si="0"/>
        <v>103.64.0.1/13</v>
      </c>
      <c r="H7" t="str">
        <f t="shared" ca="1" si="1"/>
        <v>103.69.180.19/13</v>
      </c>
      <c r="I7" t="str">
        <f t="shared" ca="1" si="2"/>
        <v>103.69.180.21/13</v>
      </c>
      <c r="J7" t="str">
        <f t="shared" ca="1" si="3"/>
        <v>103.71.255.254/13</v>
      </c>
      <c r="K7" t="str">
        <f t="shared" ca="1" si="4"/>
        <v>103.71.255.255/13</v>
      </c>
      <c r="L7" t="str">
        <f t="shared" ca="1" si="9"/>
        <v>103.56.0.0/13</v>
      </c>
      <c r="M7" t="str">
        <f t="shared" ca="1" si="10"/>
        <v>103.72.0.0/13</v>
      </c>
      <c r="N7" t="str">
        <f t="shared" ca="1" si="5"/>
        <v xml:space="preserve"> 524286</v>
      </c>
      <c r="O7">
        <f t="shared" ca="1" si="6"/>
        <v>13</v>
      </c>
    </row>
    <row r="8" spans="1:15" x14ac:dyDescent="0.2">
      <c r="A8" t="str">
        <f t="shared" ca="1" si="11"/>
        <v>82.84.28.227/5</v>
      </c>
      <c r="B8">
        <v>2</v>
      </c>
      <c r="E8" t="str">
        <f t="shared" ca="1" si="7"/>
        <v>82.84.28.227/5</v>
      </c>
      <c r="F8" t="str">
        <f t="shared" ca="1" si="8"/>
        <v>80.0.0.0/5</v>
      </c>
      <c r="G8" t="str">
        <f t="shared" ca="1" si="0"/>
        <v>80.0.0.1/5</v>
      </c>
      <c r="H8" t="str">
        <f t="shared" ca="1" si="1"/>
        <v>82.84.28.226/5</v>
      </c>
      <c r="I8" t="str">
        <f t="shared" ca="1" si="2"/>
        <v>82.84.28.228/5</v>
      </c>
      <c r="J8" t="str">
        <f t="shared" ca="1" si="3"/>
        <v>87.255.255.254/5</v>
      </c>
      <c r="K8" t="str">
        <f t="shared" ca="1" si="4"/>
        <v>87.255.255.255/5</v>
      </c>
      <c r="L8" t="str">
        <f t="shared" ca="1" si="9"/>
        <v>72.0.0.0/5</v>
      </c>
      <c r="M8" t="str">
        <f t="shared" ca="1" si="10"/>
        <v>88.0.0.0/5</v>
      </c>
      <c r="N8" t="str">
        <f t="shared" ca="1" si="5"/>
        <v xml:space="preserve"> 134217726</v>
      </c>
      <c r="O8">
        <f t="shared" ca="1" si="6"/>
        <v>5</v>
      </c>
    </row>
    <row r="9" spans="1:15" x14ac:dyDescent="0.2">
      <c r="A9" t="str">
        <f t="shared" ca="1" si="11"/>
        <v>48.7.180.94/21</v>
      </c>
      <c r="B9">
        <v>2</v>
      </c>
      <c r="E9" t="str">
        <f t="shared" ca="1" si="7"/>
        <v>48.7.180.94/21</v>
      </c>
      <c r="F9" t="str">
        <f t="shared" ca="1" si="8"/>
        <v>48.7.176.0/21</v>
      </c>
      <c r="G9" t="str">
        <f t="shared" ca="1" si="0"/>
        <v>48.7.176.1/21</v>
      </c>
      <c r="H9" t="str">
        <f t="shared" ca="1" si="1"/>
        <v>48.7.180.93/21</v>
      </c>
      <c r="I9" t="str">
        <f t="shared" ca="1" si="2"/>
        <v>48.7.180.95/21</v>
      </c>
      <c r="J9" t="str">
        <f t="shared" ca="1" si="3"/>
        <v>48.7.183.254/21</v>
      </c>
      <c r="K9" t="str">
        <f t="shared" ca="1" si="4"/>
        <v>48.7.183.255/21</v>
      </c>
      <c r="L9" t="str">
        <f t="shared" ca="1" si="9"/>
        <v>48.7.168.0/21</v>
      </c>
      <c r="M9" t="str">
        <f t="shared" ca="1" si="10"/>
        <v>48.7.184.0/21</v>
      </c>
      <c r="N9" t="str">
        <f t="shared" ca="1" si="5"/>
        <v xml:space="preserve"> 2046</v>
      </c>
      <c r="O9">
        <f t="shared" ca="1" si="6"/>
        <v>21</v>
      </c>
    </row>
    <row r="10" spans="1:15" x14ac:dyDescent="0.2">
      <c r="A10" t="str">
        <f t="shared" ca="1" si="11"/>
        <v>11.205.30.254/6</v>
      </c>
      <c r="B10">
        <v>2</v>
      </c>
      <c r="E10" t="str">
        <f t="shared" ca="1" si="7"/>
        <v>11.205.30.254/6</v>
      </c>
      <c r="F10" t="str">
        <f t="shared" ca="1" si="8"/>
        <v>8.0.0.0/6</v>
      </c>
      <c r="G10" t="str">
        <f t="shared" ca="1" si="0"/>
        <v>8.0.0.1/6</v>
      </c>
      <c r="H10" t="str">
        <f t="shared" ca="1" si="1"/>
        <v>11.205.30.253/6</v>
      </c>
      <c r="I10" t="str">
        <f t="shared" ca="1" si="2"/>
        <v>11.205.30.255/6</v>
      </c>
      <c r="J10" t="str">
        <f t="shared" ca="1" si="3"/>
        <v>11.255.255.254/6</v>
      </c>
      <c r="K10" t="str">
        <f t="shared" ca="1" si="4"/>
        <v>11.255.255.255/6</v>
      </c>
      <c r="L10" t="str">
        <f t="shared" ca="1" si="9"/>
        <v>4.0.0.0/6</v>
      </c>
      <c r="M10" t="str">
        <f t="shared" ca="1" si="10"/>
        <v>12.0.0.0/6</v>
      </c>
      <c r="N10" t="str">
        <f t="shared" ca="1" si="5"/>
        <v xml:space="preserve"> 67108862</v>
      </c>
      <c r="O10">
        <f t="shared" ca="1" si="6"/>
        <v>6</v>
      </c>
    </row>
    <row r="11" spans="1:15" x14ac:dyDescent="0.2">
      <c r="A11" t="str">
        <f t="shared" ca="1" si="11"/>
        <v>170.150.200.233/6</v>
      </c>
      <c r="B11">
        <v>2</v>
      </c>
      <c r="E11" t="str">
        <f t="shared" ca="1" si="7"/>
        <v>170.150.200.233/6</v>
      </c>
      <c r="F11" t="str">
        <f t="shared" ca="1" si="8"/>
        <v>168.0.0.0/6</v>
      </c>
      <c r="G11" t="str">
        <f t="shared" ca="1" si="0"/>
        <v>168.0.0.1/6</v>
      </c>
      <c r="H11" t="str">
        <f t="shared" ca="1" si="1"/>
        <v>170.150.200.232/6</v>
      </c>
      <c r="I11" t="str">
        <f t="shared" ca="1" si="2"/>
        <v>170.150.200.234/6</v>
      </c>
      <c r="J11" t="str">
        <f t="shared" ca="1" si="3"/>
        <v>171.255.255.254/6</v>
      </c>
      <c r="K11" t="str">
        <f t="shared" ca="1" si="4"/>
        <v>171.255.255.255/6</v>
      </c>
      <c r="L11" t="str">
        <f t="shared" ca="1" si="9"/>
        <v>164.0.0.0/6</v>
      </c>
      <c r="M11" t="str">
        <f t="shared" ca="1" si="10"/>
        <v>172.0.0.0/6</v>
      </c>
      <c r="N11" t="str">
        <f t="shared" ca="1" si="5"/>
        <v xml:space="preserve"> 67108862</v>
      </c>
      <c r="O11">
        <f t="shared" ca="1" si="6"/>
        <v>6</v>
      </c>
    </row>
    <row r="12" spans="1:15" x14ac:dyDescent="0.2">
      <c r="A12" t="str">
        <f t="shared" ca="1" si="11"/>
        <v>94.86.90.216/2</v>
      </c>
      <c r="B12">
        <v>2</v>
      </c>
      <c r="E12" t="str">
        <f t="shared" ca="1" si="7"/>
        <v>94.86.90.216/2</v>
      </c>
      <c r="F12" t="str">
        <f t="shared" ca="1" si="8"/>
        <v>64.0.0.0/2</v>
      </c>
      <c r="G12" t="str">
        <f t="shared" ca="1" si="0"/>
        <v>64.0.0.1/2</v>
      </c>
      <c r="H12" t="str">
        <f t="shared" ca="1" si="1"/>
        <v>94.86.90.215/2</v>
      </c>
      <c r="I12" t="str">
        <f t="shared" ca="1" si="2"/>
        <v>94.86.90.217/2</v>
      </c>
      <c r="J12" t="str">
        <f t="shared" ca="1" si="3"/>
        <v>127.255.255.254/2</v>
      </c>
      <c r="K12" t="str">
        <f t="shared" ca="1" si="4"/>
        <v>127.255.255.255/2</v>
      </c>
      <c r="L12" t="str">
        <f t="shared" ca="1" si="9"/>
        <v>0.0.0.0/2</v>
      </c>
      <c r="M12" t="str">
        <f t="shared" ca="1" si="10"/>
        <v>128.0.0.0/2</v>
      </c>
      <c r="N12" t="str">
        <f t="shared" ca="1" si="5"/>
        <v xml:space="preserve"> 1073741822</v>
      </c>
      <c r="O12">
        <f t="shared" ca="1" si="6"/>
        <v>2</v>
      </c>
    </row>
    <row r="13" spans="1:15" x14ac:dyDescent="0.2">
      <c r="A13" t="str">
        <f t="shared" ca="1" si="11"/>
        <v>197.233.5.17/5</v>
      </c>
      <c r="B13">
        <v>2</v>
      </c>
      <c r="E13" t="str">
        <f t="shared" ca="1" si="7"/>
        <v>197.233.5.17/5</v>
      </c>
      <c r="F13" t="str">
        <f t="shared" ca="1" si="8"/>
        <v>192.0.0.0/5</v>
      </c>
      <c r="G13" t="str">
        <f t="shared" ca="1" si="0"/>
        <v>192.0.0.1/5</v>
      </c>
      <c r="H13" t="str">
        <f t="shared" ca="1" si="1"/>
        <v>197.233.5.16/5</v>
      </c>
      <c r="I13" t="str">
        <f t="shared" ca="1" si="2"/>
        <v>197.233.5.18/5</v>
      </c>
      <c r="J13" t="str">
        <f t="shared" ca="1" si="3"/>
        <v>199.255.255.254/5</v>
      </c>
      <c r="K13" t="str">
        <f t="shared" ca="1" si="4"/>
        <v>199.255.255.255/5</v>
      </c>
      <c r="L13" t="str">
        <f t="shared" ca="1" si="9"/>
        <v>184.0.0.0/5</v>
      </c>
      <c r="M13" t="str">
        <f t="shared" ca="1" si="10"/>
        <v>200.0.0.0/5</v>
      </c>
      <c r="N13" t="str">
        <f t="shared" ca="1" si="5"/>
        <v xml:space="preserve"> 134217726</v>
      </c>
      <c r="O13">
        <f t="shared" ca="1" si="6"/>
        <v>5</v>
      </c>
    </row>
    <row r="14" spans="1:15" x14ac:dyDescent="0.2">
      <c r="A14" t="str">
        <f t="shared" ca="1" si="11"/>
        <v>106.179.13.40/18</v>
      </c>
      <c r="B14">
        <v>2</v>
      </c>
      <c r="E14" t="str">
        <f t="shared" ca="1" si="7"/>
        <v>106.179.13.40/18</v>
      </c>
      <c r="F14" t="str">
        <f t="shared" ca="1" si="8"/>
        <v>106.179.0.0/18</v>
      </c>
      <c r="G14" t="str">
        <f t="shared" ca="1" si="0"/>
        <v>106.179.0.1/18</v>
      </c>
      <c r="H14" t="str">
        <f t="shared" ca="1" si="1"/>
        <v>106.179.13.39/18</v>
      </c>
      <c r="I14" t="str">
        <f t="shared" ca="1" si="2"/>
        <v>106.179.13.41/18</v>
      </c>
      <c r="J14" t="str">
        <f t="shared" ca="1" si="3"/>
        <v>106.179.63.254/18</v>
      </c>
      <c r="K14" t="str">
        <f t="shared" ca="1" si="4"/>
        <v>106.179.63.255/18</v>
      </c>
      <c r="L14" t="str">
        <f t="shared" ca="1" si="9"/>
        <v>106.178.192.0/18</v>
      </c>
      <c r="M14" t="str">
        <f t="shared" ca="1" si="10"/>
        <v>106.179.64.0/18</v>
      </c>
      <c r="N14" t="str">
        <f t="shared" ca="1" si="5"/>
        <v xml:space="preserve"> 16382</v>
      </c>
      <c r="O14">
        <f t="shared" ca="1" si="6"/>
        <v>18</v>
      </c>
    </row>
    <row r="15" spans="1:15" x14ac:dyDescent="0.2">
      <c r="A15" t="str">
        <f t="shared" ca="1" si="11"/>
        <v>216.149.119.6/2</v>
      </c>
      <c r="B15">
        <v>2</v>
      </c>
      <c r="E15" t="str">
        <f t="shared" ca="1" si="7"/>
        <v>216.149.119.6/2</v>
      </c>
      <c r="F15" t="str">
        <f t="shared" ca="1" si="8"/>
        <v>192.0.0.0/2</v>
      </c>
      <c r="G15" t="str">
        <f t="shared" ca="1" si="0"/>
        <v>192.0.0.1/2</v>
      </c>
      <c r="H15" t="str">
        <f t="shared" ca="1" si="1"/>
        <v>216.149.119.5/2</v>
      </c>
      <c r="I15" t="str">
        <f t="shared" ca="1" si="2"/>
        <v>216.149.119.7/2</v>
      </c>
      <c r="J15" t="str">
        <f t="shared" ca="1" si="3"/>
        <v>255.255.255.254/2</v>
      </c>
      <c r="K15" t="str">
        <f t="shared" ca="1" si="4"/>
        <v>255.255.255.255/2</v>
      </c>
      <c r="L15" t="str">
        <f t="shared" ca="1" si="9"/>
        <v>128.0.0.0/2</v>
      </c>
      <c r="M15" t="str">
        <f t="shared" ca="1" si="10"/>
        <v>#VALUE!</v>
      </c>
      <c r="N15" t="str">
        <f t="shared" ca="1" si="5"/>
        <v xml:space="preserve"> 1073741822</v>
      </c>
      <c r="O15">
        <f t="shared" ca="1" si="6"/>
        <v>2</v>
      </c>
    </row>
    <row r="16" spans="1:15" x14ac:dyDescent="0.2">
      <c r="A16" t="str">
        <f t="shared" ca="1" si="11"/>
        <v>197.119.168.157/23</v>
      </c>
      <c r="B16">
        <v>2</v>
      </c>
      <c r="E16" t="str">
        <f t="shared" ca="1" si="7"/>
        <v>197.119.168.157/23</v>
      </c>
      <c r="F16" t="str">
        <f t="shared" ca="1" si="8"/>
        <v>197.119.168.0/23</v>
      </c>
      <c r="G16" t="str">
        <f t="shared" ca="1" si="0"/>
        <v>197.119.168.1/23</v>
      </c>
      <c r="H16" t="str">
        <f t="shared" ca="1" si="1"/>
        <v>197.119.168.156/23</v>
      </c>
      <c r="I16" t="str">
        <f t="shared" ca="1" si="2"/>
        <v>197.119.168.158/23</v>
      </c>
      <c r="J16" t="str">
        <f t="shared" ca="1" si="3"/>
        <v>197.119.169.254/23</v>
      </c>
      <c r="K16" t="str">
        <f t="shared" ca="1" si="4"/>
        <v>197.119.169.255/23</v>
      </c>
      <c r="L16" t="str">
        <f t="shared" ca="1" si="9"/>
        <v>197.119.166.0/23</v>
      </c>
      <c r="M16" t="str">
        <f t="shared" ca="1" si="10"/>
        <v>197.119.170.0/23</v>
      </c>
      <c r="N16" t="str">
        <f t="shared" ca="1" si="5"/>
        <v xml:space="preserve"> 510</v>
      </c>
      <c r="O16">
        <f t="shared" ca="1" si="6"/>
        <v>23</v>
      </c>
    </row>
    <row r="17" spans="1:15" x14ac:dyDescent="0.2">
      <c r="A17" t="str">
        <f t="shared" ca="1" si="11"/>
        <v>102.62.98.170/1</v>
      </c>
      <c r="B17">
        <v>2</v>
      </c>
      <c r="E17" t="str">
        <f t="shared" ca="1" si="7"/>
        <v>102.62.98.170/1</v>
      </c>
      <c r="F17" t="str">
        <f t="shared" ca="1" si="8"/>
        <v>0.0.0.0/1</v>
      </c>
      <c r="G17" t="str">
        <f t="shared" ca="1" si="0"/>
        <v>0.0.0.1/1</v>
      </c>
      <c r="H17" t="str">
        <f t="shared" ca="1" si="1"/>
        <v>102.62.98.169/1</v>
      </c>
      <c r="I17" t="str">
        <f t="shared" ca="1" si="2"/>
        <v>102.62.98.171/1</v>
      </c>
      <c r="J17" t="str">
        <f t="shared" ca="1" si="3"/>
        <v>127.255.255.254/1</v>
      </c>
      <c r="K17" t="str">
        <f t="shared" ca="1" si="4"/>
        <v>127.255.255.255/1</v>
      </c>
      <c r="L17" t="str">
        <f t="shared" ca="1" si="9"/>
        <v>#VALUE!</v>
      </c>
      <c r="M17" t="str">
        <f t="shared" ca="1" si="10"/>
        <v>128.0.0.0/1</v>
      </c>
      <c r="N17" t="str">
        <f t="shared" ca="1" si="5"/>
        <v xml:space="preserve"> 2147483646</v>
      </c>
      <c r="O17">
        <f t="shared" ca="1" si="6"/>
        <v>1</v>
      </c>
    </row>
    <row r="18" spans="1:15" x14ac:dyDescent="0.2">
      <c r="A18" t="str">
        <f t="shared" ca="1" si="11"/>
        <v>90.35.191.24/14</v>
      </c>
      <c r="B18">
        <v>2</v>
      </c>
      <c r="E18" t="str">
        <f t="shared" ca="1" si="7"/>
        <v>90.35.191.24/14</v>
      </c>
      <c r="F18" t="str">
        <f t="shared" ca="1" si="8"/>
        <v>90.32.0.0/14</v>
      </c>
      <c r="G18" t="str">
        <f t="shared" ca="1" si="0"/>
        <v>90.32.0.1/14</v>
      </c>
      <c r="H18" t="str">
        <f t="shared" ca="1" si="1"/>
        <v>90.35.191.23/14</v>
      </c>
      <c r="I18" t="str">
        <f t="shared" ca="1" si="2"/>
        <v>90.35.191.25/14</v>
      </c>
      <c r="J18" t="str">
        <f t="shared" ca="1" si="3"/>
        <v>90.35.255.254/14</v>
      </c>
      <c r="K18" t="str">
        <f t="shared" ca="1" si="4"/>
        <v>90.35.255.255/14</v>
      </c>
      <c r="L18" t="str">
        <f t="shared" ca="1" si="9"/>
        <v>90.28.0.0/14</v>
      </c>
      <c r="M18" t="str">
        <f t="shared" ca="1" si="10"/>
        <v>90.36.0.0/14</v>
      </c>
      <c r="N18" t="str">
        <f t="shared" ca="1" si="5"/>
        <v xml:space="preserve"> 262142</v>
      </c>
      <c r="O18">
        <f t="shared" ca="1" si="6"/>
        <v>14</v>
      </c>
    </row>
    <row r="19" spans="1:15" x14ac:dyDescent="0.2">
      <c r="A19" t="str">
        <f t="shared" ca="1" si="11"/>
        <v>174.206.229.243/8</v>
      </c>
      <c r="B19">
        <v>2</v>
      </c>
      <c r="E19" t="str">
        <f t="shared" ca="1" si="7"/>
        <v>174.206.229.243/8</v>
      </c>
      <c r="F19" t="str">
        <f t="shared" ca="1" si="8"/>
        <v>174.0.0.0/8</v>
      </c>
      <c r="G19" t="str">
        <f t="shared" ca="1" si="0"/>
        <v>174.0.0.1/8</v>
      </c>
      <c r="H19" t="str">
        <f t="shared" ca="1" si="1"/>
        <v>174.206.229.242/8</v>
      </c>
      <c r="I19" t="str">
        <f t="shared" ca="1" si="2"/>
        <v>174.206.229.244/8</v>
      </c>
      <c r="J19" t="str">
        <f t="shared" ca="1" si="3"/>
        <v>174.255.255.254/8</v>
      </c>
      <c r="K19" t="str">
        <f t="shared" ca="1" si="4"/>
        <v>174.255.255.255/8</v>
      </c>
      <c r="L19" t="str">
        <f t="shared" ca="1" si="9"/>
        <v>173.0.0.0/8</v>
      </c>
      <c r="M19" t="str">
        <f t="shared" ca="1" si="10"/>
        <v>175.0.0.0/8</v>
      </c>
      <c r="N19" t="str">
        <f t="shared" ca="1" si="5"/>
        <v xml:space="preserve"> 16777214</v>
      </c>
      <c r="O19">
        <f t="shared" ca="1" si="6"/>
        <v>8</v>
      </c>
    </row>
    <row r="20" spans="1:15" x14ac:dyDescent="0.2">
      <c r="A20" t="str">
        <f t="shared" ca="1" si="11"/>
        <v>114.222.111.184/22</v>
      </c>
      <c r="B20">
        <v>2</v>
      </c>
      <c r="E20" t="str">
        <f t="shared" ca="1" si="7"/>
        <v>114.222.111.184/22</v>
      </c>
      <c r="F20" t="str">
        <f t="shared" ca="1" si="8"/>
        <v>114.222.108.0/22</v>
      </c>
      <c r="G20" t="str">
        <f t="shared" ca="1" si="0"/>
        <v>114.222.108.1/22</v>
      </c>
      <c r="H20" t="str">
        <f t="shared" ca="1" si="1"/>
        <v>114.222.111.183/22</v>
      </c>
      <c r="I20" t="str">
        <f t="shared" ca="1" si="2"/>
        <v>114.222.111.185/22</v>
      </c>
      <c r="J20" t="str">
        <f t="shared" ca="1" si="3"/>
        <v>114.222.111.254/22</v>
      </c>
      <c r="K20" t="str">
        <f t="shared" ca="1" si="4"/>
        <v>114.222.111.255/22</v>
      </c>
      <c r="L20" t="str">
        <f t="shared" ca="1" si="9"/>
        <v>114.222.104.0/22</v>
      </c>
      <c r="M20" t="str">
        <f t="shared" ca="1" si="10"/>
        <v>114.222.112.0/22</v>
      </c>
      <c r="N20" t="str">
        <f t="shared" ca="1" si="5"/>
        <v xml:space="preserve"> 1022</v>
      </c>
      <c r="O20">
        <f t="shared" ca="1" si="6"/>
        <v>22</v>
      </c>
    </row>
    <row r="21" spans="1:15" x14ac:dyDescent="0.2">
      <c r="A21" t="str">
        <f t="shared" ca="1" si="11"/>
        <v>15.72.152.187/25</v>
      </c>
      <c r="B21">
        <v>2</v>
      </c>
      <c r="E21" t="str">
        <f t="shared" ca="1" si="7"/>
        <v>15.72.152.187/25</v>
      </c>
      <c r="F21" t="str">
        <f t="shared" ca="1" si="8"/>
        <v>15.72.152.128/25</v>
      </c>
      <c r="G21" t="str">
        <f t="shared" ca="1" si="0"/>
        <v>15.72.152.129/25</v>
      </c>
      <c r="H21" t="str">
        <f t="shared" ca="1" si="1"/>
        <v>15.72.152.186/25</v>
      </c>
      <c r="I21" t="str">
        <f t="shared" ca="1" si="2"/>
        <v>15.72.152.188/25</v>
      </c>
      <c r="J21" t="str">
        <f t="shared" ca="1" si="3"/>
        <v>15.72.152.254/25</v>
      </c>
      <c r="K21" t="str">
        <f t="shared" ca="1" si="4"/>
        <v>15.72.152.255/25</v>
      </c>
      <c r="L21" t="str">
        <f t="shared" ca="1" si="9"/>
        <v>15.72.152.0/25</v>
      </c>
      <c r="M21" t="str">
        <f t="shared" ca="1" si="10"/>
        <v>15.72.153.0/25</v>
      </c>
      <c r="N21" t="str">
        <f t="shared" ca="1" si="5"/>
        <v xml:space="preserve"> 126</v>
      </c>
      <c r="O21">
        <f t="shared" ca="1" si="6"/>
        <v>25</v>
      </c>
    </row>
    <row r="22" spans="1:15" x14ac:dyDescent="0.2">
      <c r="A22" t="str">
        <f t="shared" ca="1" si="11"/>
        <v>60.219.170.211/4</v>
      </c>
      <c r="B22">
        <v>2</v>
      </c>
      <c r="E22" t="str">
        <f t="shared" ca="1" si="7"/>
        <v>60.219.170.211/4</v>
      </c>
      <c r="F22" t="str">
        <f t="shared" ca="1" si="8"/>
        <v>48.0.0.0/4</v>
      </c>
      <c r="G22" t="str">
        <f t="shared" ca="1" si="0"/>
        <v>48.0.0.1/4</v>
      </c>
      <c r="H22" t="str">
        <f t="shared" ca="1" si="1"/>
        <v>60.219.170.210/4</v>
      </c>
      <c r="I22" t="str">
        <f t="shared" ca="1" si="2"/>
        <v>60.219.170.212/4</v>
      </c>
      <c r="J22" t="str">
        <f t="shared" ca="1" si="3"/>
        <v>63.255.255.254/4</v>
      </c>
      <c r="K22" t="str">
        <f t="shared" ca="1" si="4"/>
        <v>63.255.255.255/4</v>
      </c>
      <c r="L22" t="str">
        <f t="shared" ca="1" si="9"/>
        <v>32.0.0.0/4</v>
      </c>
      <c r="M22" t="str">
        <f t="shared" ca="1" si="10"/>
        <v>64.0.0.0/4</v>
      </c>
      <c r="N22" t="str">
        <f t="shared" ca="1" si="5"/>
        <v xml:space="preserve"> 268435454</v>
      </c>
      <c r="O22">
        <f t="shared" ca="1" si="6"/>
        <v>4</v>
      </c>
    </row>
    <row r="23" spans="1:15" x14ac:dyDescent="0.2">
      <c r="A23" t="str">
        <f t="shared" ca="1" si="11"/>
        <v>242.2.243.78/7</v>
      </c>
      <c r="B23">
        <v>2</v>
      </c>
      <c r="E23" t="str">
        <f t="shared" ca="1" si="7"/>
        <v>242.2.243.78/7</v>
      </c>
      <c r="F23" t="str">
        <f t="shared" ca="1" si="8"/>
        <v>242.0.0.0/7</v>
      </c>
      <c r="G23" t="str">
        <f t="shared" ca="1" si="0"/>
        <v>242.0.0.1/7</v>
      </c>
      <c r="H23" t="str">
        <f t="shared" ca="1" si="1"/>
        <v>242.2.243.77/7</v>
      </c>
      <c r="I23" t="str">
        <f t="shared" ca="1" si="2"/>
        <v>242.2.243.79/7</v>
      </c>
      <c r="J23" t="str">
        <f t="shared" ca="1" si="3"/>
        <v>243.255.255.254/7</v>
      </c>
      <c r="K23" t="str">
        <f t="shared" ca="1" si="4"/>
        <v>243.255.255.255/7</v>
      </c>
      <c r="L23" t="str">
        <f t="shared" ca="1" si="9"/>
        <v>240.0.0.0/7</v>
      </c>
      <c r="M23" t="str">
        <f t="shared" ca="1" si="10"/>
        <v>244.0.0.0/7</v>
      </c>
      <c r="N23" t="str">
        <f t="shared" ca="1" si="5"/>
        <v xml:space="preserve"> 33554430</v>
      </c>
      <c r="O23">
        <f t="shared" ca="1" si="6"/>
        <v>7</v>
      </c>
    </row>
    <row r="24" spans="1:15" x14ac:dyDescent="0.2">
      <c r="A24" t="str">
        <f t="shared" ca="1" si="11"/>
        <v>231.119.140.44/4</v>
      </c>
      <c r="B24">
        <v>2</v>
      </c>
      <c r="E24" t="str">
        <f t="shared" ca="1" si="7"/>
        <v>231.119.140.44/4</v>
      </c>
      <c r="F24" t="str">
        <f t="shared" ca="1" si="8"/>
        <v>224.0.0.0/4</v>
      </c>
      <c r="G24" t="str">
        <f t="shared" ca="1" si="0"/>
        <v>224.0.0.1/4</v>
      </c>
      <c r="H24" t="str">
        <f t="shared" ca="1" si="1"/>
        <v>231.119.140.43/4</v>
      </c>
      <c r="I24" t="str">
        <f t="shared" ca="1" si="2"/>
        <v>231.119.140.45/4</v>
      </c>
      <c r="J24" t="str">
        <f t="shared" ca="1" si="3"/>
        <v>239.255.255.254/4</v>
      </c>
      <c r="K24" t="str">
        <f t="shared" ca="1" si="4"/>
        <v>239.255.255.255/4</v>
      </c>
      <c r="L24" t="str">
        <f t="shared" ca="1" si="9"/>
        <v>208.0.0.0/4</v>
      </c>
      <c r="M24" t="str">
        <f t="shared" ca="1" si="10"/>
        <v>240.0.0.0/4</v>
      </c>
      <c r="N24" t="str">
        <f t="shared" ca="1" si="5"/>
        <v xml:space="preserve"> 268435454</v>
      </c>
      <c r="O24">
        <f t="shared" ca="1" si="6"/>
        <v>4</v>
      </c>
    </row>
    <row r="25" spans="1:15" x14ac:dyDescent="0.2">
      <c r="A25" t="str">
        <f t="shared" ca="1" si="11"/>
        <v>99.29.64.191/13</v>
      </c>
      <c r="B25">
        <v>2</v>
      </c>
      <c r="E25" t="str">
        <f t="shared" ca="1" si="7"/>
        <v>99.29.64.191/13</v>
      </c>
      <c r="F25" t="str">
        <f t="shared" ca="1" si="8"/>
        <v>99.24.0.0/13</v>
      </c>
      <c r="G25" t="str">
        <f t="shared" ca="1" si="0"/>
        <v>99.24.0.1/13</v>
      </c>
      <c r="H25" t="str">
        <f t="shared" ca="1" si="1"/>
        <v>99.29.64.190/13</v>
      </c>
      <c r="I25" t="str">
        <f t="shared" ca="1" si="2"/>
        <v>99.29.64.192/13</v>
      </c>
      <c r="J25" t="str">
        <f t="shared" ca="1" si="3"/>
        <v>99.31.255.254/13</v>
      </c>
      <c r="K25" t="str">
        <f t="shared" ca="1" si="4"/>
        <v>99.31.255.255/13</v>
      </c>
      <c r="L25" t="str">
        <f t="shared" ca="1" si="9"/>
        <v>99.16.0.0/13</v>
      </c>
      <c r="M25" t="str">
        <f t="shared" ca="1" si="10"/>
        <v>99.32.0.0/13</v>
      </c>
      <c r="N25" t="str">
        <f t="shared" ca="1" si="5"/>
        <v xml:space="preserve"> 524286</v>
      </c>
      <c r="O25">
        <f t="shared" ca="1" si="6"/>
        <v>13</v>
      </c>
    </row>
    <row r="26" spans="1:15" x14ac:dyDescent="0.2">
      <c r="A26" t="str">
        <f t="shared" ca="1" si="11"/>
        <v>56.156.163.120/10</v>
      </c>
      <c r="B26">
        <v>2</v>
      </c>
      <c r="E26" t="str">
        <f t="shared" ca="1" si="7"/>
        <v>56.156.163.120/10</v>
      </c>
      <c r="F26" t="str">
        <f t="shared" ca="1" si="8"/>
        <v>56.128.0.0/10</v>
      </c>
      <c r="G26" t="str">
        <f t="shared" ca="1" si="0"/>
        <v>56.128.0.1/10</v>
      </c>
      <c r="H26" t="str">
        <f t="shared" ca="1" si="1"/>
        <v>56.156.163.119/10</v>
      </c>
      <c r="I26" t="str">
        <f t="shared" ca="1" si="2"/>
        <v>56.156.163.121/10</v>
      </c>
      <c r="J26" t="str">
        <f t="shared" ca="1" si="3"/>
        <v>56.191.255.254/10</v>
      </c>
      <c r="K26" t="str">
        <f t="shared" ca="1" si="4"/>
        <v>56.191.255.255/10</v>
      </c>
      <c r="L26" t="str">
        <f t="shared" ca="1" si="9"/>
        <v>56.64.0.0/10</v>
      </c>
      <c r="M26" t="str">
        <f t="shared" ca="1" si="10"/>
        <v>56.192.0.0/10</v>
      </c>
      <c r="N26" t="str">
        <f t="shared" ca="1" si="5"/>
        <v xml:space="preserve"> 4194302</v>
      </c>
      <c r="O26">
        <f t="shared" ca="1" si="6"/>
        <v>10</v>
      </c>
    </row>
    <row r="27" spans="1:15" x14ac:dyDescent="0.2">
      <c r="A27" t="str">
        <f t="shared" ca="1" si="11"/>
        <v>4.240.1.252/5</v>
      </c>
      <c r="B27">
        <v>2</v>
      </c>
      <c r="E27" t="str">
        <f t="shared" ca="1" si="7"/>
        <v>4.240.1.252/5</v>
      </c>
      <c r="F27" t="str">
        <f t="shared" ca="1" si="8"/>
        <v>0.0.0.0/5</v>
      </c>
      <c r="G27" t="str">
        <f t="shared" ca="1" si="0"/>
        <v>0.0.0.1/5</v>
      </c>
      <c r="H27" t="str">
        <f t="shared" ca="1" si="1"/>
        <v>4.240.1.251/5</v>
      </c>
      <c r="I27" t="str">
        <f t="shared" ca="1" si="2"/>
        <v>4.240.1.253/5</v>
      </c>
      <c r="J27" t="str">
        <f t="shared" ca="1" si="3"/>
        <v>7.255.255.254/5</v>
      </c>
      <c r="K27" t="str">
        <f t="shared" ca="1" si="4"/>
        <v>7.255.255.255/5</v>
      </c>
      <c r="L27" t="str">
        <f t="shared" ca="1" si="9"/>
        <v>#VALUE!</v>
      </c>
      <c r="M27" t="str">
        <f t="shared" ca="1" si="10"/>
        <v>8.0.0.0/5</v>
      </c>
      <c r="N27" t="str">
        <f t="shared" ca="1" si="5"/>
        <v xml:space="preserve"> 134217726</v>
      </c>
      <c r="O27">
        <f t="shared" ca="1" si="6"/>
        <v>5</v>
      </c>
    </row>
    <row r="28" spans="1:15" x14ac:dyDescent="0.2">
      <c r="A28" t="str">
        <f t="shared" ca="1" si="11"/>
        <v>14.48.191.77/4</v>
      </c>
      <c r="B28">
        <v>2</v>
      </c>
      <c r="E28" t="str">
        <f t="shared" ca="1" si="7"/>
        <v>14.48.191.77/4</v>
      </c>
      <c r="F28" t="str">
        <f t="shared" ca="1" si="8"/>
        <v>0.0.0.0/4</v>
      </c>
      <c r="G28" t="str">
        <f t="shared" ca="1" si="0"/>
        <v>0.0.0.1/4</v>
      </c>
      <c r="H28" t="str">
        <f t="shared" ca="1" si="1"/>
        <v>14.48.191.76/4</v>
      </c>
      <c r="I28" t="str">
        <f t="shared" ca="1" si="2"/>
        <v>14.48.191.78/4</v>
      </c>
      <c r="J28" t="str">
        <f t="shared" ca="1" si="3"/>
        <v>15.255.255.254/4</v>
      </c>
      <c r="K28" t="str">
        <f t="shared" ca="1" si="4"/>
        <v>15.255.255.255/4</v>
      </c>
      <c r="L28" t="str">
        <f t="shared" ca="1" si="9"/>
        <v>#VALUE!</v>
      </c>
      <c r="M28" t="str">
        <f t="shared" ca="1" si="10"/>
        <v>16.0.0.0/4</v>
      </c>
      <c r="N28" t="str">
        <f t="shared" ca="1" si="5"/>
        <v xml:space="preserve"> 268435454</v>
      </c>
      <c r="O28">
        <f t="shared" ca="1" si="6"/>
        <v>4</v>
      </c>
    </row>
    <row r="29" spans="1:15" x14ac:dyDescent="0.2">
      <c r="A29" t="str">
        <f t="shared" ca="1" si="11"/>
        <v>207.7.204.111/17</v>
      </c>
      <c r="B29">
        <v>2</v>
      </c>
      <c r="E29" t="str">
        <f t="shared" ca="1" si="7"/>
        <v>207.7.204.111/17</v>
      </c>
      <c r="F29" t="str">
        <f t="shared" ca="1" si="8"/>
        <v>207.7.128.0/17</v>
      </c>
      <c r="G29" t="str">
        <f t="shared" ca="1" si="0"/>
        <v>207.7.128.1/17</v>
      </c>
      <c r="H29" t="str">
        <f t="shared" ca="1" si="1"/>
        <v>207.7.204.110/17</v>
      </c>
      <c r="I29" t="str">
        <f t="shared" ca="1" si="2"/>
        <v>207.7.204.112/17</v>
      </c>
      <c r="J29" t="str">
        <f t="shared" ca="1" si="3"/>
        <v>207.7.255.254/17</v>
      </c>
      <c r="K29" t="str">
        <f t="shared" ca="1" si="4"/>
        <v>207.7.255.255/17</v>
      </c>
      <c r="L29" t="str">
        <f t="shared" ca="1" si="9"/>
        <v>207.7.0.0/17</v>
      </c>
      <c r="M29" t="str">
        <f t="shared" ca="1" si="10"/>
        <v>207.8.0.0/17</v>
      </c>
      <c r="N29" t="str">
        <f t="shared" ca="1" si="5"/>
        <v xml:space="preserve"> 32766</v>
      </c>
      <c r="O29">
        <f t="shared" ca="1" si="6"/>
        <v>17</v>
      </c>
    </row>
    <row r="30" spans="1:15" x14ac:dyDescent="0.2">
      <c r="A30" t="str">
        <f t="shared" ca="1" si="11"/>
        <v>87.230.95.244/10</v>
      </c>
      <c r="B30">
        <v>2</v>
      </c>
      <c r="E30" t="str">
        <f t="shared" ca="1" si="7"/>
        <v>87.230.95.244/10</v>
      </c>
      <c r="F30" t="str">
        <f t="shared" ca="1" si="8"/>
        <v>87.192.0.0/10</v>
      </c>
      <c r="G30" t="str">
        <f t="shared" ca="1" si="0"/>
        <v>87.192.0.1/10</v>
      </c>
      <c r="H30" t="str">
        <f t="shared" ca="1" si="1"/>
        <v>87.230.95.243/10</v>
      </c>
      <c r="I30" t="str">
        <f t="shared" ca="1" si="2"/>
        <v>87.230.95.245/10</v>
      </c>
      <c r="J30" t="str">
        <f t="shared" ca="1" si="3"/>
        <v>87.255.255.254/10</v>
      </c>
      <c r="K30" t="str">
        <f t="shared" ca="1" si="4"/>
        <v>87.255.255.255/10</v>
      </c>
      <c r="L30" t="str">
        <f t="shared" ca="1" si="9"/>
        <v>87.128.0.0/10</v>
      </c>
      <c r="M30" t="str">
        <f t="shared" ca="1" si="10"/>
        <v>88.0.0.0/10</v>
      </c>
      <c r="N30" t="str">
        <f t="shared" ca="1" si="5"/>
        <v xml:space="preserve"> 4194302</v>
      </c>
      <c r="O30">
        <f t="shared" ca="1" si="6"/>
        <v>10</v>
      </c>
    </row>
    <row r="31" spans="1:15" x14ac:dyDescent="0.2">
      <c r="A31" t="str">
        <f t="shared" ca="1" si="11"/>
        <v>56.172.140.177/29</v>
      </c>
      <c r="B31">
        <v>2</v>
      </c>
      <c r="E31" t="str">
        <f t="shared" ca="1" si="7"/>
        <v>56.172.140.177/29</v>
      </c>
      <c r="F31" t="str">
        <f t="shared" ca="1" si="8"/>
        <v>56.172.140.176/29</v>
      </c>
      <c r="G31" t="str">
        <f t="shared" ca="1" si="0"/>
        <v>56.172.140.177/29</v>
      </c>
      <c r="H31" t="str">
        <f t="shared" ca="1" si="1"/>
        <v>#VALUE!</v>
      </c>
      <c r="I31" t="str">
        <f t="shared" ca="1" si="2"/>
        <v>56.172.140.178/29</v>
      </c>
      <c r="J31" t="str">
        <f t="shared" ca="1" si="3"/>
        <v>56.172.140.182/29</v>
      </c>
      <c r="K31" t="str">
        <f t="shared" ca="1" si="4"/>
        <v>56.172.140.183/29</v>
      </c>
      <c r="L31" t="str">
        <f t="shared" ca="1" si="9"/>
        <v>56.172.140.168/29</v>
      </c>
      <c r="M31" t="str">
        <f t="shared" ca="1" si="10"/>
        <v>56.172.140.184/29</v>
      </c>
      <c r="N31" t="str">
        <f t="shared" ca="1" si="5"/>
        <v xml:space="preserve"> 6</v>
      </c>
      <c r="O31">
        <f t="shared" ca="1" si="6"/>
        <v>29</v>
      </c>
    </row>
    <row r="32" spans="1:15" x14ac:dyDescent="0.2">
      <c r="A32" t="str">
        <f t="shared" ca="1" si="11"/>
        <v>202.109.213.105/19</v>
      </c>
      <c r="B32">
        <v>2</v>
      </c>
      <c r="E32" t="str">
        <f t="shared" ca="1" si="7"/>
        <v>202.109.213.105/19</v>
      </c>
      <c r="F32" t="str">
        <f t="shared" ca="1" si="8"/>
        <v>202.109.192.0/19</v>
      </c>
      <c r="G32" t="str">
        <f t="shared" ca="1" si="0"/>
        <v>202.109.192.1/19</v>
      </c>
      <c r="H32" t="str">
        <f t="shared" ca="1" si="1"/>
        <v>202.109.213.104/19</v>
      </c>
      <c r="I32" t="str">
        <f t="shared" ca="1" si="2"/>
        <v>202.109.213.106/19</v>
      </c>
      <c r="J32" t="str">
        <f t="shared" ca="1" si="3"/>
        <v>202.109.223.254/19</v>
      </c>
      <c r="K32" t="str">
        <f t="shared" ca="1" si="4"/>
        <v>202.109.223.255/19</v>
      </c>
      <c r="L32" t="str">
        <f t="shared" ca="1" si="9"/>
        <v>202.109.160.0/19</v>
      </c>
      <c r="M32" t="str">
        <f t="shared" ca="1" si="10"/>
        <v>202.109.224.0/19</v>
      </c>
      <c r="N32" t="str">
        <f t="shared" ca="1" si="5"/>
        <v xml:space="preserve"> 8190</v>
      </c>
      <c r="O32">
        <f t="shared" ca="1" si="6"/>
        <v>19</v>
      </c>
    </row>
    <row r="33" spans="1:15" x14ac:dyDescent="0.2">
      <c r="A33" t="str">
        <f t="shared" ca="1" si="11"/>
        <v>11.235.109.150/26</v>
      </c>
      <c r="B33">
        <v>2</v>
      </c>
      <c r="E33" t="str">
        <f t="shared" ca="1" si="7"/>
        <v>11.235.109.150/26</v>
      </c>
      <c r="F33" t="str">
        <f t="shared" ca="1" si="8"/>
        <v>11.235.109.128/26</v>
      </c>
      <c r="G33" t="str">
        <f t="shared" ca="1" si="0"/>
        <v>11.235.109.129/26</v>
      </c>
      <c r="H33" t="str">
        <f t="shared" ca="1" si="1"/>
        <v>11.235.109.149/26</v>
      </c>
      <c r="I33" t="str">
        <f t="shared" ca="1" si="2"/>
        <v>11.235.109.151/26</v>
      </c>
      <c r="J33" t="str">
        <f t="shared" ca="1" si="3"/>
        <v>11.235.109.190/26</v>
      </c>
      <c r="K33" t="str">
        <f t="shared" ca="1" si="4"/>
        <v>11.235.109.191/26</v>
      </c>
      <c r="L33" t="str">
        <f t="shared" ca="1" si="9"/>
        <v>11.235.109.64/26</v>
      </c>
      <c r="M33" t="str">
        <f t="shared" ca="1" si="10"/>
        <v>11.235.109.192/26</v>
      </c>
      <c r="N33" t="str">
        <f t="shared" ca="1" si="5"/>
        <v xml:space="preserve"> 62</v>
      </c>
      <c r="O33">
        <f t="shared" ca="1" si="6"/>
        <v>26</v>
      </c>
    </row>
    <row r="34" spans="1:15" x14ac:dyDescent="0.2">
      <c r="A34" t="str">
        <f t="shared" ca="1" si="11"/>
        <v>21.206.3.121/21</v>
      </c>
      <c r="B34">
        <v>2</v>
      </c>
      <c r="E34" t="str">
        <f t="shared" ca="1" si="7"/>
        <v>21.206.3.121/21</v>
      </c>
      <c r="F34" t="str">
        <f t="shared" ca="1" si="8"/>
        <v>21.206.0.0/21</v>
      </c>
      <c r="G34" t="str">
        <f t="shared" ca="1" si="0"/>
        <v>21.206.0.1/21</v>
      </c>
      <c r="H34" t="str">
        <f t="shared" ca="1" si="1"/>
        <v>21.206.3.120/21</v>
      </c>
      <c r="I34" t="str">
        <f t="shared" ca="1" si="2"/>
        <v>21.206.3.122/21</v>
      </c>
      <c r="J34" t="str">
        <f t="shared" ca="1" si="3"/>
        <v>21.206.7.254/21</v>
      </c>
      <c r="K34" t="str">
        <f t="shared" ca="1" si="4"/>
        <v>21.206.7.255/21</v>
      </c>
      <c r="L34" t="str">
        <f t="shared" ca="1" si="9"/>
        <v>21.205.248.0/21</v>
      </c>
      <c r="M34" t="str">
        <f t="shared" ca="1" si="10"/>
        <v>21.206.8.0/21</v>
      </c>
      <c r="N34" t="str">
        <f t="shared" ca="1" si="5"/>
        <v xml:space="preserve"> 2046</v>
      </c>
      <c r="O34">
        <f t="shared" ca="1" si="6"/>
        <v>21</v>
      </c>
    </row>
    <row r="35" spans="1:15" x14ac:dyDescent="0.2">
      <c r="A35" t="str">
        <f t="shared" ca="1" si="11"/>
        <v>37.160.7.132/4</v>
      </c>
      <c r="B35">
        <v>2</v>
      </c>
      <c r="E35" t="str">
        <f t="shared" ca="1" si="7"/>
        <v>37.160.7.132/4</v>
      </c>
      <c r="F35" t="str">
        <f t="shared" ca="1" si="8"/>
        <v>32.0.0.0/4</v>
      </c>
      <c r="G35" t="str">
        <f t="shared" ca="1" si="0"/>
        <v>32.0.0.1/4</v>
      </c>
      <c r="H35" t="str">
        <f t="shared" ca="1" si="1"/>
        <v>37.160.7.131/4</v>
      </c>
      <c r="I35" t="str">
        <f t="shared" ca="1" si="2"/>
        <v>37.160.7.133/4</v>
      </c>
      <c r="J35" t="str">
        <f t="shared" ca="1" si="3"/>
        <v>47.255.255.254/4</v>
      </c>
      <c r="K35" t="str">
        <f t="shared" ca="1" si="4"/>
        <v>47.255.255.255/4</v>
      </c>
      <c r="L35" t="str">
        <f t="shared" ca="1" si="9"/>
        <v>16.0.0.0/4</v>
      </c>
      <c r="M35" t="str">
        <f t="shared" ca="1" si="10"/>
        <v>48.0.0.0/4</v>
      </c>
      <c r="N35" t="str">
        <f t="shared" ca="1" si="5"/>
        <v xml:space="preserve"> 268435454</v>
      </c>
      <c r="O35">
        <f t="shared" ca="1" si="6"/>
        <v>4</v>
      </c>
    </row>
    <row r="36" spans="1:15" x14ac:dyDescent="0.2">
      <c r="A36" t="str">
        <f t="shared" ca="1" si="11"/>
        <v>23.249.171.136/22</v>
      </c>
      <c r="B36">
        <v>2</v>
      </c>
      <c r="E36" t="str">
        <f t="shared" ca="1" si="7"/>
        <v>23.249.171.136/22</v>
      </c>
      <c r="F36" t="str">
        <f t="shared" ca="1" si="8"/>
        <v>23.249.168.0/22</v>
      </c>
      <c r="G36" t="str">
        <f t="shared" ca="1" si="0"/>
        <v>23.249.168.1/22</v>
      </c>
      <c r="H36" t="str">
        <f t="shared" ca="1" si="1"/>
        <v>23.249.171.135/22</v>
      </c>
      <c r="I36" t="str">
        <f t="shared" ca="1" si="2"/>
        <v>23.249.171.137/22</v>
      </c>
      <c r="J36" t="str">
        <f t="shared" ca="1" si="3"/>
        <v>23.249.171.254/22</v>
      </c>
      <c r="K36" t="str">
        <f t="shared" ca="1" si="4"/>
        <v>23.249.171.255/22</v>
      </c>
      <c r="L36" t="str">
        <f t="shared" ca="1" si="9"/>
        <v>23.249.164.0/22</v>
      </c>
      <c r="M36" t="str">
        <f t="shared" ca="1" si="10"/>
        <v>23.249.172.0/22</v>
      </c>
      <c r="N36" t="str">
        <f t="shared" ca="1" si="5"/>
        <v xml:space="preserve"> 1022</v>
      </c>
      <c r="O36">
        <f t="shared" ca="1" si="6"/>
        <v>22</v>
      </c>
    </row>
    <row r="37" spans="1:15" x14ac:dyDescent="0.2">
      <c r="A37" t="str">
        <f t="shared" ca="1" si="11"/>
        <v>202.88.228.186/24</v>
      </c>
      <c r="B37">
        <v>2</v>
      </c>
      <c r="E37" t="str">
        <f t="shared" ca="1" si="7"/>
        <v>202.88.228.186/24</v>
      </c>
      <c r="F37" t="str">
        <f t="shared" ca="1" si="8"/>
        <v>202.88.228.0/24</v>
      </c>
      <c r="G37" t="str">
        <f t="shared" ca="1" si="0"/>
        <v>202.88.228.1/24</v>
      </c>
      <c r="H37" t="str">
        <f t="shared" ca="1" si="1"/>
        <v>202.88.228.185/24</v>
      </c>
      <c r="I37" t="str">
        <f t="shared" ca="1" si="2"/>
        <v>202.88.228.187/24</v>
      </c>
      <c r="J37" t="str">
        <f t="shared" ca="1" si="3"/>
        <v>202.88.228.254/24</v>
      </c>
      <c r="K37" t="str">
        <f t="shared" ca="1" si="4"/>
        <v>202.88.228.255/24</v>
      </c>
      <c r="L37" t="str">
        <f t="shared" ca="1" si="9"/>
        <v>202.88.227.0/24</v>
      </c>
      <c r="M37" t="str">
        <f t="shared" ca="1" si="10"/>
        <v>202.88.229.0/24</v>
      </c>
      <c r="N37" t="str">
        <f t="shared" ca="1" si="5"/>
        <v xml:space="preserve"> 254</v>
      </c>
      <c r="O37">
        <f t="shared" ca="1" si="6"/>
        <v>24</v>
      </c>
    </row>
    <row r="38" spans="1:15" x14ac:dyDescent="0.2">
      <c r="A38" t="str">
        <f t="shared" ca="1" si="11"/>
        <v>82.247.122.3/7</v>
      </c>
      <c r="B38">
        <v>2</v>
      </c>
      <c r="E38" t="str">
        <f t="shared" ca="1" si="7"/>
        <v>82.247.122.3/7</v>
      </c>
      <c r="F38" t="str">
        <f t="shared" ca="1" si="8"/>
        <v>82.0.0.0/7</v>
      </c>
      <c r="G38" t="str">
        <f t="shared" ca="1" si="0"/>
        <v>82.0.0.1/7</v>
      </c>
      <c r="H38" t="str">
        <f t="shared" ca="1" si="1"/>
        <v>82.247.122.2/7</v>
      </c>
      <c r="I38" t="str">
        <f t="shared" ca="1" si="2"/>
        <v>82.247.122.4/7</v>
      </c>
      <c r="J38" t="str">
        <f t="shared" ca="1" si="3"/>
        <v>83.255.255.254/7</v>
      </c>
      <c r="K38" t="str">
        <f t="shared" ca="1" si="4"/>
        <v>83.255.255.255/7</v>
      </c>
      <c r="L38" t="str">
        <f t="shared" ca="1" si="9"/>
        <v>80.0.0.0/7</v>
      </c>
      <c r="M38" t="str">
        <f t="shared" ca="1" si="10"/>
        <v>84.0.0.0/7</v>
      </c>
      <c r="N38" t="str">
        <f t="shared" ca="1" si="5"/>
        <v xml:space="preserve"> 33554430</v>
      </c>
      <c r="O38">
        <f t="shared" ca="1" si="6"/>
        <v>7</v>
      </c>
    </row>
    <row r="39" spans="1:15" x14ac:dyDescent="0.2">
      <c r="A39" t="str">
        <f t="shared" ca="1" si="11"/>
        <v>68.89.221.249/30</v>
      </c>
      <c r="B39">
        <v>2</v>
      </c>
      <c r="E39" t="str">
        <f t="shared" ca="1" si="7"/>
        <v>68.89.221.249/30</v>
      </c>
      <c r="F39" t="str">
        <f t="shared" ca="1" si="8"/>
        <v>68.89.221.248/30</v>
      </c>
      <c r="G39" t="str">
        <f t="shared" ca="1" si="0"/>
        <v>68.89.221.249/30</v>
      </c>
      <c r="H39" t="str">
        <f t="shared" ca="1" si="1"/>
        <v>#VALUE!</v>
      </c>
      <c r="I39" t="str">
        <f t="shared" ca="1" si="2"/>
        <v>68.89.221.250/30</v>
      </c>
      <c r="J39" t="str">
        <f t="shared" ca="1" si="3"/>
        <v>68.89.221.250/30</v>
      </c>
      <c r="K39" t="str">
        <f t="shared" ca="1" si="4"/>
        <v>68.89.221.251/30</v>
      </c>
      <c r="L39" t="str">
        <f t="shared" ca="1" si="9"/>
        <v>68.89.221.244/30</v>
      </c>
      <c r="M39" t="str">
        <f t="shared" ca="1" si="10"/>
        <v>68.89.221.252/30</v>
      </c>
      <c r="N39" t="str">
        <f t="shared" ca="1" si="5"/>
        <v xml:space="preserve"> 2</v>
      </c>
      <c r="O39">
        <f t="shared" ca="1" si="6"/>
        <v>30</v>
      </c>
    </row>
    <row r="40" spans="1:15" x14ac:dyDescent="0.2">
      <c r="A40" t="str">
        <f t="shared" ca="1" si="11"/>
        <v>12.15.103.88/26</v>
      </c>
      <c r="B40">
        <v>2</v>
      </c>
      <c r="E40" t="str">
        <f t="shared" ca="1" si="7"/>
        <v>12.15.103.88/26</v>
      </c>
      <c r="F40" t="str">
        <f t="shared" ca="1" si="8"/>
        <v>12.15.103.64/26</v>
      </c>
      <c r="G40" t="str">
        <f t="shared" ca="1" si="0"/>
        <v>12.15.103.65/26</v>
      </c>
      <c r="H40" t="str">
        <f t="shared" ca="1" si="1"/>
        <v>12.15.103.87/26</v>
      </c>
      <c r="I40" t="str">
        <f t="shared" ca="1" si="2"/>
        <v>12.15.103.89/26</v>
      </c>
      <c r="J40" t="str">
        <f t="shared" ca="1" si="3"/>
        <v>12.15.103.126/26</v>
      </c>
      <c r="K40" t="str">
        <f t="shared" ca="1" si="4"/>
        <v>12.15.103.127/26</v>
      </c>
      <c r="L40" t="str">
        <f t="shared" ca="1" si="9"/>
        <v>12.15.103.0/26</v>
      </c>
      <c r="M40" t="str">
        <f t="shared" ca="1" si="10"/>
        <v>12.15.103.128/26</v>
      </c>
      <c r="N40" t="str">
        <f t="shared" ca="1" si="5"/>
        <v xml:space="preserve"> 62</v>
      </c>
      <c r="O40">
        <f t="shared" ca="1" si="6"/>
        <v>26</v>
      </c>
    </row>
    <row r="41" spans="1:15" x14ac:dyDescent="0.2">
      <c r="A41" t="str">
        <f t="shared" ca="1" si="11"/>
        <v>209.150.254.31/22</v>
      </c>
      <c r="B41">
        <v>2</v>
      </c>
      <c r="E41" t="str">
        <f t="shared" ca="1" si="7"/>
        <v>209.150.254.31/22</v>
      </c>
      <c r="F41" t="str">
        <f t="shared" ca="1" si="8"/>
        <v>209.150.252.0/22</v>
      </c>
      <c r="G41" t="str">
        <f t="shared" ca="1" si="0"/>
        <v>209.150.252.1/22</v>
      </c>
      <c r="H41" t="str">
        <f t="shared" ca="1" si="1"/>
        <v>209.150.254.30/22</v>
      </c>
      <c r="I41" t="str">
        <f t="shared" ca="1" si="2"/>
        <v>209.150.254.32/22</v>
      </c>
      <c r="J41" t="str">
        <f t="shared" ca="1" si="3"/>
        <v>209.150.255.254/22</v>
      </c>
      <c r="K41" t="str">
        <f t="shared" ca="1" si="4"/>
        <v>209.150.255.255/22</v>
      </c>
      <c r="L41" t="str">
        <f t="shared" ca="1" si="9"/>
        <v>209.150.248.0/22</v>
      </c>
      <c r="M41" t="str">
        <f t="shared" ca="1" si="10"/>
        <v>209.151.0.0/22</v>
      </c>
      <c r="N41" t="str">
        <f t="shared" ca="1" si="5"/>
        <v xml:space="preserve"> 1022</v>
      </c>
      <c r="O41">
        <f t="shared" ca="1" si="6"/>
        <v>22</v>
      </c>
    </row>
    <row r="42" spans="1:15" x14ac:dyDescent="0.2">
      <c r="A42" t="str">
        <f t="shared" ca="1" si="11"/>
        <v>201.135.19.194/30</v>
      </c>
      <c r="B42">
        <v>2</v>
      </c>
      <c r="E42" t="str">
        <f t="shared" ca="1" si="7"/>
        <v>201.135.19.194/30</v>
      </c>
      <c r="F42" t="str">
        <f t="shared" ca="1" si="8"/>
        <v>201.135.19.192/30</v>
      </c>
      <c r="G42" t="str">
        <f t="shared" ca="1" si="0"/>
        <v>201.135.19.193/30</v>
      </c>
      <c r="H42" t="str">
        <f t="shared" ca="1" si="1"/>
        <v>201.135.19.193/30</v>
      </c>
      <c r="I42" t="str">
        <f t="shared" ca="1" si="2"/>
        <v>#VALUE!</v>
      </c>
      <c r="J42" t="str">
        <f t="shared" ca="1" si="3"/>
        <v>201.135.19.194/30</v>
      </c>
      <c r="K42" t="str">
        <f t="shared" ca="1" si="4"/>
        <v>201.135.19.195/30</v>
      </c>
      <c r="L42" t="str">
        <f t="shared" ca="1" si="9"/>
        <v>201.135.19.188/30</v>
      </c>
      <c r="M42" t="str">
        <f t="shared" ca="1" si="10"/>
        <v>201.135.19.196/30</v>
      </c>
      <c r="N42" t="str">
        <f t="shared" ca="1" si="5"/>
        <v xml:space="preserve"> 2</v>
      </c>
      <c r="O42">
        <f t="shared" ca="1" si="6"/>
        <v>30</v>
      </c>
    </row>
    <row r="43" spans="1:15" x14ac:dyDescent="0.2">
      <c r="A43" t="str">
        <f t="shared" ca="1" si="11"/>
        <v>162.198.55.183/20</v>
      </c>
      <c r="B43">
        <v>2</v>
      </c>
      <c r="E43" t="str">
        <f t="shared" ca="1" si="7"/>
        <v>162.198.55.183/20</v>
      </c>
      <c r="F43" t="str">
        <f t="shared" ca="1" si="8"/>
        <v>162.198.48.0/20</v>
      </c>
      <c r="G43" t="str">
        <f t="shared" ca="1" si="0"/>
        <v>162.198.48.1/20</v>
      </c>
      <c r="H43" t="str">
        <f t="shared" ca="1" si="1"/>
        <v>162.198.55.182/20</v>
      </c>
      <c r="I43" t="str">
        <f t="shared" ca="1" si="2"/>
        <v>162.198.55.184/20</v>
      </c>
      <c r="J43" t="str">
        <f t="shared" ca="1" si="3"/>
        <v>162.198.63.254/20</v>
      </c>
      <c r="K43" t="str">
        <f t="shared" ca="1" si="4"/>
        <v>162.198.63.255/20</v>
      </c>
      <c r="L43" t="str">
        <f t="shared" ca="1" si="9"/>
        <v>162.198.32.0/20</v>
      </c>
      <c r="M43" t="str">
        <f t="shared" ca="1" si="10"/>
        <v>162.198.64.0/20</v>
      </c>
      <c r="N43" t="str">
        <f t="shared" ca="1" si="5"/>
        <v xml:space="preserve"> 4094</v>
      </c>
      <c r="O43">
        <f t="shared" ca="1" si="6"/>
        <v>20</v>
      </c>
    </row>
    <row r="44" spans="1:15" x14ac:dyDescent="0.2">
      <c r="A44" t="str">
        <f t="shared" ca="1" si="11"/>
        <v>170.86.86.90/21</v>
      </c>
      <c r="B44">
        <v>2</v>
      </c>
      <c r="E44" t="str">
        <f t="shared" ca="1" si="7"/>
        <v>170.86.86.90/21</v>
      </c>
      <c r="F44" t="str">
        <f t="shared" ca="1" si="8"/>
        <v>170.86.80.0/21</v>
      </c>
      <c r="G44" t="str">
        <f t="shared" ca="1" si="0"/>
        <v>170.86.80.1/21</v>
      </c>
      <c r="H44" t="str">
        <f t="shared" ca="1" si="1"/>
        <v>170.86.86.89/21</v>
      </c>
      <c r="I44" t="str">
        <f t="shared" ca="1" si="2"/>
        <v>170.86.86.91/21</v>
      </c>
      <c r="J44" t="str">
        <f t="shared" ca="1" si="3"/>
        <v>170.86.87.254/21</v>
      </c>
      <c r="K44" t="str">
        <f t="shared" ca="1" si="4"/>
        <v>170.86.87.255/21</v>
      </c>
      <c r="L44" t="str">
        <f t="shared" ca="1" si="9"/>
        <v>170.86.72.0/21</v>
      </c>
      <c r="M44" t="str">
        <f t="shared" ca="1" si="10"/>
        <v>170.86.88.0/21</v>
      </c>
      <c r="N44" t="str">
        <f t="shared" ca="1" si="5"/>
        <v xml:space="preserve"> 2046</v>
      </c>
      <c r="O44">
        <f t="shared" ca="1" si="6"/>
        <v>21</v>
      </c>
    </row>
    <row r="45" spans="1:15" x14ac:dyDescent="0.2">
      <c r="A45" t="str">
        <f t="shared" ca="1" si="11"/>
        <v>30.134.13.75/24</v>
      </c>
      <c r="B45">
        <v>2</v>
      </c>
      <c r="E45" t="str">
        <f t="shared" ca="1" si="7"/>
        <v>30.134.13.75/24</v>
      </c>
      <c r="F45" t="str">
        <f t="shared" ca="1" si="8"/>
        <v>30.134.13.0/24</v>
      </c>
      <c r="G45" t="str">
        <f t="shared" ca="1" si="0"/>
        <v>30.134.13.1/24</v>
      </c>
      <c r="H45" t="str">
        <f t="shared" ca="1" si="1"/>
        <v>30.134.13.74/24</v>
      </c>
      <c r="I45" t="str">
        <f t="shared" ca="1" si="2"/>
        <v>30.134.13.76/24</v>
      </c>
      <c r="J45" t="str">
        <f t="shared" ca="1" si="3"/>
        <v>30.134.13.254/24</v>
      </c>
      <c r="K45" t="str">
        <f t="shared" ca="1" si="4"/>
        <v>30.134.13.255/24</v>
      </c>
      <c r="L45" t="str">
        <f t="shared" ca="1" si="9"/>
        <v>30.134.12.0/24</v>
      </c>
      <c r="M45" t="str">
        <f t="shared" ca="1" si="10"/>
        <v>30.134.14.0/24</v>
      </c>
      <c r="N45" t="str">
        <f t="shared" ca="1" si="5"/>
        <v xml:space="preserve"> 254</v>
      </c>
      <c r="O45">
        <f t="shared" ca="1" si="6"/>
        <v>24</v>
      </c>
    </row>
    <row r="46" spans="1:15" x14ac:dyDescent="0.2">
      <c r="A46" t="str">
        <f t="shared" ca="1" si="11"/>
        <v>9.221.50.163/32</v>
      </c>
      <c r="B46">
        <v>2</v>
      </c>
      <c r="E46" t="str">
        <f t="shared" ca="1" si="7"/>
        <v>9.221.50.163/32</v>
      </c>
      <c r="F46" t="str">
        <f t="shared" ca="1" si="8"/>
        <v>9.221.50.163/32</v>
      </c>
      <c r="G46" t="str">
        <f t="shared" ca="1" si="0"/>
        <v>#VALUE!</v>
      </c>
      <c r="H46" t="str">
        <f t="shared" ca="1" si="1"/>
        <v>#VALUE!</v>
      </c>
      <c r="I46" t="str">
        <f t="shared" ca="1" si="2"/>
        <v>#VALUE!</v>
      </c>
      <c r="J46" t="str">
        <f t="shared" ca="1" si="3"/>
        <v>#VALUE!</v>
      </c>
      <c r="K46" t="str">
        <f t="shared" ca="1" si="4"/>
        <v>#VALUE!</v>
      </c>
      <c r="L46" t="str">
        <f t="shared" ca="1" si="9"/>
        <v>9.221.50.162/32</v>
      </c>
      <c r="M46" t="str">
        <f t="shared" ca="1" si="10"/>
        <v>9.221.50.164/32</v>
      </c>
      <c r="N46" t="str">
        <f t="shared" ca="1" si="5"/>
        <v>#VALUE!</v>
      </c>
      <c r="O46">
        <f t="shared" ca="1" si="6"/>
        <v>32</v>
      </c>
    </row>
    <row r="47" spans="1:15" x14ac:dyDescent="0.2">
      <c r="A47" t="str">
        <f t="shared" ca="1" si="11"/>
        <v>72.151.80.220/25</v>
      </c>
      <c r="B47">
        <v>2</v>
      </c>
      <c r="E47" t="str">
        <f t="shared" ca="1" si="7"/>
        <v>72.151.80.220/25</v>
      </c>
      <c r="F47" t="str">
        <f t="shared" ca="1" si="8"/>
        <v>72.151.80.128/25</v>
      </c>
      <c r="G47" t="str">
        <f t="shared" ca="1" si="0"/>
        <v>72.151.80.129/25</v>
      </c>
      <c r="H47" t="str">
        <f t="shared" ca="1" si="1"/>
        <v>72.151.80.219/25</v>
      </c>
      <c r="I47" t="str">
        <f t="shared" ca="1" si="2"/>
        <v>72.151.80.221/25</v>
      </c>
      <c r="J47" t="str">
        <f t="shared" ca="1" si="3"/>
        <v>72.151.80.254/25</v>
      </c>
      <c r="K47" t="str">
        <f t="shared" ca="1" si="4"/>
        <v>72.151.80.255/25</v>
      </c>
      <c r="L47" t="str">
        <f t="shared" ca="1" si="9"/>
        <v>72.151.80.0/25</v>
      </c>
      <c r="M47" t="str">
        <f t="shared" ca="1" si="10"/>
        <v>72.151.81.0/25</v>
      </c>
      <c r="N47" t="str">
        <f t="shared" ca="1" si="5"/>
        <v xml:space="preserve"> 126</v>
      </c>
      <c r="O47">
        <f t="shared" ca="1" si="6"/>
        <v>25</v>
      </c>
    </row>
  </sheetData>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324"/>
  <sheetViews>
    <sheetView topLeftCell="B1" workbookViewId="0">
      <selection activeCell="B26" sqref="B26"/>
    </sheetView>
  </sheetViews>
  <sheetFormatPr baseColWidth="10" defaultColWidth="11" defaultRowHeight="16" x14ac:dyDescent="0.2"/>
  <cols>
    <col min="1" max="1" width="37" bestFit="1" customWidth="1"/>
    <col min="2" max="2" width="16.6640625" customWidth="1"/>
  </cols>
  <sheetData>
    <row r="1" spans="1:2" x14ac:dyDescent="0.2">
      <c r="A1" s="85" t="s">
        <v>278</v>
      </c>
      <c r="B1" t="s">
        <v>279</v>
      </c>
    </row>
    <row r="2" spans="1:2" x14ac:dyDescent="0.2">
      <c r="A2" s="85" t="s">
        <v>280</v>
      </c>
      <c r="B2" t="s">
        <v>281</v>
      </c>
    </row>
    <row r="3" spans="1:2" x14ac:dyDescent="0.2">
      <c r="A3" s="85" t="s">
        <v>282</v>
      </c>
      <c r="B3" t="s">
        <v>283</v>
      </c>
    </row>
    <row r="4" spans="1:2" x14ac:dyDescent="0.2">
      <c r="A4" s="85" t="s">
        <v>284</v>
      </c>
      <c r="B4" t="s">
        <v>283</v>
      </c>
    </row>
    <row r="5" spans="1:2" x14ac:dyDescent="0.2">
      <c r="A5" s="85" t="s">
        <v>285</v>
      </c>
      <c r="B5" t="s">
        <v>283</v>
      </c>
    </row>
    <row r="6" spans="1:2" x14ac:dyDescent="0.2">
      <c r="A6" s="85" t="s">
        <v>286</v>
      </c>
      <c r="B6" t="s">
        <v>283</v>
      </c>
    </row>
    <row r="7" spans="1:2" x14ac:dyDescent="0.2">
      <c r="A7" s="85" t="s">
        <v>287</v>
      </c>
      <c r="B7" t="s">
        <v>281</v>
      </c>
    </row>
    <row r="8" spans="1:2" x14ac:dyDescent="0.2">
      <c r="A8" s="85" t="s">
        <v>288</v>
      </c>
      <c r="B8" t="s">
        <v>281</v>
      </c>
    </row>
    <row r="9" spans="1:2" x14ac:dyDescent="0.2">
      <c r="A9" s="85" t="s">
        <v>289</v>
      </c>
      <c r="B9" t="s">
        <v>281</v>
      </c>
    </row>
    <row r="10" spans="1:2" x14ac:dyDescent="0.2">
      <c r="A10" s="85" t="s">
        <v>290</v>
      </c>
      <c r="B10" t="s">
        <v>281</v>
      </c>
    </row>
    <row r="11" spans="1:2" x14ac:dyDescent="0.2">
      <c r="A11" s="85" t="s">
        <v>291</v>
      </c>
      <c r="B11" t="s">
        <v>292</v>
      </c>
    </row>
    <row r="12" spans="1:2" x14ac:dyDescent="0.2">
      <c r="A12" s="85" t="s">
        <v>293</v>
      </c>
      <c r="B12" t="s">
        <v>294</v>
      </c>
    </row>
    <row r="13" spans="1:2" x14ac:dyDescent="0.2">
      <c r="A13" s="85" t="s">
        <v>295</v>
      </c>
      <c r="B13" t="s">
        <v>294</v>
      </c>
    </row>
    <row r="14" spans="1:2" x14ac:dyDescent="0.2">
      <c r="A14" s="85" t="s">
        <v>296</v>
      </c>
      <c r="B14" t="s">
        <v>294</v>
      </c>
    </row>
    <row r="15" spans="1:2" x14ac:dyDescent="0.2">
      <c r="A15" s="85" t="s">
        <v>297</v>
      </c>
      <c r="B15" t="s">
        <v>298</v>
      </c>
    </row>
    <row r="16" spans="1:2" x14ac:dyDescent="0.2">
      <c r="A16" s="85" t="s">
        <v>299</v>
      </c>
      <c r="B16" t="s">
        <v>292</v>
      </c>
    </row>
    <row r="17" spans="1:2" x14ac:dyDescent="0.2">
      <c r="A17" s="85" t="s">
        <v>300</v>
      </c>
      <c r="B17" t="s">
        <v>301</v>
      </c>
    </row>
    <row r="18" spans="1:2" x14ac:dyDescent="0.2">
      <c r="A18" s="85" t="s">
        <v>302</v>
      </c>
      <c r="B18" t="s">
        <v>283</v>
      </c>
    </row>
    <row r="19" spans="1:2" x14ac:dyDescent="0.2">
      <c r="A19" s="85" t="s">
        <v>303</v>
      </c>
      <c r="B19" t="s">
        <v>294</v>
      </c>
    </row>
    <row r="20" spans="1:2" x14ac:dyDescent="0.2">
      <c r="A20" s="85" t="s">
        <v>304</v>
      </c>
      <c r="B20" t="s">
        <v>281</v>
      </c>
    </row>
    <row r="21" spans="1:2" x14ac:dyDescent="0.2">
      <c r="A21" s="85" t="s">
        <v>305</v>
      </c>
      <c r="B21" t="s">
        <v>281</v>
      </c>
    </row>
    <row r="22" spans="1:2" x14ac:dyDescent="0.2">
      <c r="A22" s="85" t="s">
        <v>306</v>
      </c>
      <c r="B22" t="s">
        <v>281</v>
      </c>
    </row>
    <row r="23" spans="1:2" x14ac:dyDescent="0.2">
      <c r="A23" s="85" t="s">
        <v>307</v>
      </c>
      <c r="B23" t="s">
        <v>308</v>
      </c>
    </row>
    <row r="24" spans="1:2" x14ac:dyDescent="0.2">
      <c r="A24" s="85" t="s">
        <v>309</v>
      </c>
      <c r="B24" t="s">
        <v>283</v>
      </c>
    </row>
    <row r="25" spans="1:2" x14ac:dyDescent="0.2">
      <c r="A25" s="85" t="s">
        <v>310</v>
      </c>
      <c r="B25" t="s">
        <v>279</v>
      </c>
    </row>
    <row r="26" spans="1:2" x14ac:dyDescent="0.2">
      <c r="A26" s="85" t="s">
        <v>311</v>
      </c>
      <c r="B26" t="s">
        <v>279</v>
      </c>
    </row>
    <row r="27" spans="1:2" x14ac:dyDescent="0.2">
      <c r="A27" s="85" t="s">
        <v>312</v>
      </c>
      <c r="B27" t="s">
        <v>313</v>
      </c>
    </row>
    <row r="28" spans="1:2" x14ac:dyDescent="0.2">
      <c r="A28" s="85" t="s">
        <v>314</v>
      </c>
      <c r="B28" t="s">
        <v>313</v>
      </c>
    </row>
    <row r="29" spans="1:2" x14ac:dyDescent="0.2">
      <c r="A29" s="85" t="s">
        <v>315</v>
      </c>
      <c r="B29" t="s">
        <v>313</v>
      </c>
    </row>
    <row r="30" spans="1:2" x14ac:dyDescent="0.2">
      <c r="A30" s="85" t="s">
        <v>316</v>
      </c>
      <c r="B30" t="s">
        <v>313</v>
      </c>
    </row>
    <row r="31" spans="1:2" x14ac:dyDescent="0.2">
      <c r="A31" s="85" t="s">
        <v>317</v>
      </c>
      <c r="B31" t="s">
        <v>313</v>
      </c>
    </row>
    <row r="32" spans="1:2" x14ac:dyDescent="0.2">
      <c r="A32" s="85" t="s">
        <v>318</v>
      </c>
      <c r="B32" t="s">
        <v>313</v>
      </c>
    </row>
    <row r="33" spans="1:2" x14ac:dyDescent="0.2">
      <c r="A33" s="85" t="s">
        <v>319</v>
      </c>
      <c r="B33" t="s">
        <v>313</v>
      </c>
    </row>
    <row r="34" spans="1:2" x14ac:dyDescent="0.2">
      <c r="A34" s="85" t="s">
        <v>320</v>
      </c>
      <c r="B34" t="s">
        <v>313</v>
      </c>
    </row>
    <row r="35" spans="1:2" x14ac:dyDescent="0.2">
      <c r="A35" s="85" t="s">
        <v>321</v>
      </c>
      <c r="B35" t="s">
        <v>313</v>
      </c>
    </row>
    <row r="36" spans="1:2" x14ac:dyDescent="0.2">
      <c r="A36" s="85" t="s">
        <v>322</v>
      </c>
      <c r="B36" t="s">
        <v>313</v>
      </c>
    </row>
    <row r="37" spans="1:2" x14ac:dyDescent="0.2">
      <c r="A37" s="85" t="s">
        <v>323</v>
      </c>
      <c r="B37" t="s">
        <v>313</v>
      </c>
    </row>
    <row r="38" spans="1:2" x14ac:dyDescent="0.2">
      <c r="A38" s="85" t="s">
        <v>324</v>
      </c>
      <c r="B38" t="s">
        <v>313</v>
      </c>
    </row>
    <row r="39" spans="1:2" x14ac:dyDescent="0.2">
      <c r="A39" s="85" t="s">
        <v>325</v>
      </c>
      <c r="B39" t="s">
        <v>326</v>
      </c>
    </row>
    <row r="40" spans="1:2" x14ac:dyDescent="0.2">
      <c r="A40" s="85" t="s">
        <v>327</v>
      </c>
      <c r="B40" t="s">
        <v>326</v>
      </c>
    </row>
    <row r="41" spans="1:2" x14ac:dyDescent="0.2">
      <c r="A41" s="85" t="s">
        <v>328</v>
      </c>
      <c r="B41" t="s">
        <v>313</v>
      </c>
    </row>
    <row r="42" spans="1:2" x14ac:dyDescent="0.2">
      <c r="A42" s="85" t="s">
        <v>329</v>
      </c>
      <c r="B42" t="s">
        <v>313</v>
      </c>
    </row>
    <row r="43" spans="1:2" x14ac:dyDescent="0.2">
      <c r="A43" s="85" t="s">
        <v>330</v>
      </c>
      <c r="B43" t="s">
        <v>326</v>
      </c>
    </row>
    <row r="44" spans="1:2" x14ac:dyDescent="0.2">
      <c r="A44" s="85" t="s">
        <v>331</v>
      </c>
      <c r="B44" t="s">
        <v>326</v>
      </c>
    </row>
    <row r="45" spans="1:2" x14ac:dyDescent="0.2">
      <c r="A45" s="85" t="s">
        <v>332</v>
      </c>
      <c r="B45" t="s">
        <v>326</v>
      </c>
    </row>
    <row r="46" spans="1:2" x14ac:dyDescent="0.2">
      <c r="A46" s="85" t="s">
        <v>333</v>
      </c>
      <c r="B46" t="s">
        <v>326</v>
      </c>
    </row>
    <row r="47" spans="1:2" x14ac:dyDescent="0.2">
      <c r="A47" s="85" t="s">
        <v>334</v>
      </c>
      <c r="B47" t="s">
        <v>326</v>
      </c>
    </row>
    <row r="48" spans="1:2" x14ac:dyDescent="0.2">
      <c r="A48" s="85" t="s">
        <v>335</v>
      </c>
      <c r="B48" t="s">
        <v>326</v>
      </c>
    </row>
    <row r="49" spans="1:2" x14ac:dyDescent="0.2">
      <c r="A49" s="85" t="s">
        <v>336</v>
      </c>
      <c r="B49" t="s">
        <v>326</v>
      </c>
    </row>
    <row r="50" spans="1:2" x14ac:dyDescent="0.2">
      <c r="A50" s="85" t="s">
        <v>337</v>
      </c>
      <c r="B50" t="s">
        <v>326</v>
      </c>
    </row>
    <row r="51" spans="1:2" x14ac:dyDescent="0.2">
      <c r="A51" s="85" t="s">
        <v>338</v>
      </c>
      <c r="B51" t="s">
        <v>326</v>
      </c>
    </row>
    <row r="52" spans="1:2" x14ac:dyDescent="0.2">
      <c r="A52" s="85" t="s">
        <v>339</v>
      </c>
      <c r="B52" t="s">
        <v>326</v>
      </c>
    </row>
    <row r="53" spans="1:2" x14ac:dyDescent="0.2">
      <c r="A53" s="85" t="s">
        <v>340</v>
      </c>
      <c r="B53" t="s">
        <v>326</v>
      </c>
    </row>
    <row r="54" spans="1:2" x14ac:dyDescent="0.2">
      <c r="A54" s="85" t="s">
        <v>341</v>
      </c>
      <c r="B54" t="s">
        <v>326</v>
      </c>
    </row>
    <row r="55" spans="1:2" x14ac:dyDescent="0.2">
      <c r="A55" s="85" t="s">
        <v>342</v>
      </c>
      <c r="B55" t="s">
        <v>326</v>
      </c>
    </row>
    <row r="56" spans="1:2" x14ac:dyDescent="0.2">
      <c r="A56" s="85" t="s">
        <v>343</v>
      </c>
      <c r="B56" t="s">
        <v>326</v>
      </c>
    </row>
    <row r="57" spans="1:2" x14ac:dyDescent="0.2">
      <c r="A57" s="85" t="s">
        <v>344</v>
      </c>
      <c r="B57" t="s">
        <v>326</v>
      </c>
    </row>
    <row r="58" spans="1:2" x14ac:dyDescent="0.2">
      <c r="A58" s="85" t="s">
        <v>345</v>
      </c>
      <c r="B58" t="s">
        <v>326</v>
      </c>
    </row>
    <row r="59" spans="1:2" x14ac:dyDescent="0.2">
      <c r="A59" s="85" t="s">
        <v>346</v>
      </c>
      <c r="B59" t="s">
        <v>326</v>
      </c>
    </row>
    <row r="60" spans="1:2" x14ac:dyDescent="0.2">
      <c r="A60" s="85" t="s">
        <v>347</v>
      </c>
      <c r="B60" t="s">
        <v>279</v>
      </c>
    </row>
    <row r="61" spans="1:2" x14ac:dyDescent="0.2">
      <c r="A61" s="85" t="s">
        <v>348</v>
      </c>
      <c r="B61" t="s">
        <v>279</v>
      </c>
    </row>
    <row r="62" spans="1:2" x14ac:dyDescent="0.2">
      <c r="A62" s="85" t="s">
        <v>349</v>
      </c>
      <c r="B62" t="s">
        <v>326</v>
      </c>
    </row>
    <row r="63" spans="1:2" x14ac:dyDescent="0.2">
      <c r="A63" s="85" t="s">
        <v>350</v>
      </c>
      <c r="B63" t="s">
        <v>326</v>
      </c>
    </row>
    <row r="64" spans="1:2" x14ac:dyDescent="0.2">
      <c r="A64" s="85" t="s">
        <v>351</v>
      </c>
      <c r="B64" t="s">
        <v>352</v>
      </c>
    </row>
    <row r="65" spans="1:2" x14ac:dyDescent="0.2">
      <c r="A65" s="85" t="s">
        <v>353</v>
      </c>
      <c r="B65" t="s">
        <v>326</v>
      </c>
    </row>
    <row r="66" spans="1:2" x14ac:dyDescent="0.2">
      <c r="A66" s="85" t="s">
        <v>354</v>
      </c>
      <c r="B66" t="s">
        <v>326</v>
      </c>
    </row>
    <row r="67" spans="1:2" x14ac:dyDescent="0.2">
      <c r="A67" s="85" t="s">
        <v>355</v>
      </c>
      <c r="B67" t="s">
        <v>356</v>
      </c>
    </row>
    <row r="68" spans="1:2" x14ac:dyDescent="0.2">
      <c r="A68" s="85" t="s">
        <v>357</v>
      </c>
      <c r="B68" t="s">
        <v>281</v>
      </c>
    </row>
    <row r="69" spans="1:2" x14ac:dyDescent="0.2">
      <c r="A69" s="85" t="s">
        <v>358</v>
      </c>
      <c r="B69" t="s">
        <v>326</v>
      </c>
    </row>
    <row r="70" spans="1:2" x14ac:dyDescent="0.2">
      <c r="A70" s="85" t="s">
        <v>359</v>
      </c>
      <c r="B70" t="s">
        <v>326</v>
      </c>
    </row>
    <row r="71" spans="1:2" x14ac:dyDescent="0.2">
      <c r="A71" s="85" t="s">
        <v>360</v>
      </c>
      <c r="B71" t="s">
        <v>326</v>
      </c>
    </row>
    <row r="72" spans="1:2" x14ac:dyDescent="0.2">
      <c r="A72" s="85" t="s">
        <v>361</v>
      </c>
      <c r="B72" t="s">
        <v>313</v>
      </c>
    </row>
    <row r="73" spans="1:2" x14ac:dyDescent="0.2">
      <c r="A73" s="85" t="s">
        <v>362</v>
      </c>
      <c r="B73" t="s">
        <v>326</v>
      </c>
    </row>
    <row r="74" spans="1:2" x14ac:dyDescent="0.2">
      <c r="A74" s="85" t="s">
        <v>363</v>
      </c>
      <c r="B74" t="s">
        <v>313</v>
      </c>
    </row>
    <row r="75" spans="1:2" x14ac:dyDescent="0.2">
      <c r="A75" s="85" t="s">
        <v>364</v>
      </c>
      <c r="B75" t="s">
        <v>326</v>
      </c>
    </row>
    <row r="76" spans="1:2" x14ac:dyDescent="0.2">
      <c r="A76" s="85" t="s">
        <v>365</v>
      </c>
      <c r="B76" t="s">
        <v>366</v>
      </c>
    </row>
    <row r="77" spans="1:2" x14ac:dyDescent="0.2">
      <c r="A77" s="85" t="s">
        <v>367</v>
      </c>
      <c r="B77" t="s">
        <v>326</v>
      </c>
    </row>
    <row r="78" spans="1:2" x14ac:dyDescent="0.2">
      <c r="A78" s="85" t="s">
        <v>368</v>
      </c>
      <c r="B78" t="s">
        <v>369</v>
      </c>
    </row>
    <row r="79" spans="1:2" x14ac:dyDescent="0.2">
      <c r="A79" s="85" t="s">
        <v>370</v>
      </c>
      <c r="B79" t="s">
        <v>313</v>
      </c>
    </row>
    <row r="80" spans="1:2" x14ac:dyDescent="0.2">
      <c r="A80" s="85" t="s">
        <v>371</v>
      </c>
      <c r="B80" t="s">
        <v>326</v>
      </c>
    </row>
    <row r="81" spans="1:2" x14ac:dyDescent="0.2">
      <c r="A81" s="85" t="s">
        <v>372</v>
      </c>
      <c r="B81" t="s">
        <v>281</v>
      </c>
    </row>
    <row r="82" spans="1:2" x14ac:dyDescent="0.2">
      <c r="A82" s="85" t="s">
        <v>373</v>
      </c>
      <c r="B82" t="s">
        <v>369</v>
      </c>
    </row>
    <row r="83" spans="1:2" x14ac:dyDescent="0.2">
      <c r="A83" s="85" t="s">
        <v>374</v>
      </c>
      <c r="B83" t="s">
        <v>326</v>
      </c>
    </row>
    <row r="84" spans="1:2" x14ac:dyDescent="0.2">
      <c r="A84" s="85" t="s">
        <v>375</v>
      </c>
      <c r="B84" t="s">
        <v>326</v>
      </c>
    </row>
    <row r="85" spans="1:2" x14ac:dyDescent="0.2">
      <c r="A85" s="85" t="s">
        <v>376</v>
      </c>
      <c r="B85" t="s">
        <v>326</v>
      </c>
    </row>
    <row r="86" spans="1:2" x14ac:dyDescent="0.2">
      <c r="A86" s="85" t="s">
        <v>377</v>
      </c>
      <c r="B86" t="s">
        <v>326</v>
      </c>
    </row>
    <row r="87" spans="1:2" x14ac:dyDescent="0.2">
      <c r="A87" s="85" t="s">
        <v>378</v>
      </c>
      <c r="B87" t="s">
        <v>326</v>
      </c>
    </row>
    <row r="88" spans="1:2" x14ac:dyDescent="0.2">
      <c r="A88" s="85" t="s">
        <v>379</v>
      </c>
      <c r="B88" t="s">
        <v>356</v>
      </c>
    </row>
    <row r="89" spans="1:2" x14ac:dyDescent="0.2">
      <c r="A89" s="85" t="s">
        <v>380</v>
      </c>
      <c r="B89" t="s">
        <v>326</v>
      </c>
    </row>
    <row r="90" spans="1:2" x14ac:dyDescent="0.2">
      <c r="A90" s="85" t="s">
        <v>381</v>
      </c>
      <c r="B90" t="s">
        <v>326</v>
      </c>
    </row>
    <row r="91" spans="1:2" x14ac:dyDescent="0.2">
      <c r="A91" s="85" t="s">
        <v>382</v>
      </c>
      <c r="B91" t="s">
        <v>326</v>
      </c>
    </row>
    <row r="92" spans="1:2" x14ac:dyDescent="0.2">
      <c r="A92" s="85" t="s">
        <v>383</v>
      </c>
      <c r="B92" t="s">
        <v>326</v>
      </c>
    </row>
    <row r="93" spans="1:2" x14ac:dyDescent="0.2">
      <c r="A93" s="85" t="s">
        <v>384</v>
      </c>
      <c r="B93" t="s">
        <v>326</v>
      </c>
    </row>
    <row r="94" spans="1:2" x14ac:dyDescent="0.2">
      <c r="A94" s="85" t="s">
        <v>385</v>
      </c>
      <c r="B94" t="s">
        <v>326</v>
      </c>
    </row>
    <row r="95" spans="1:2" x14ac:dyDescent="0.2">
      <c r="A95" s="85" t="s">
        <v>386</v>
      </c>
      <c r="B95" t="s">
        <v>326</v>
      </c>
    </row>
    <row r="96" spans="1:2" x14ac:dyDescent="0.2">
      <c r="A96" s="85" t="s">
        <v>387</v>
      </c>
      <c r="B96" t="s">
        <v>326</v>
      </c>
    </row>
    <row r="97" spans="1:2" x14ac:dyDescent="0.2">
      <c r="A97" s="85" t="s">
        <v>388</v>
      </c>
      <c r="B97" t="s">
        <v>326</v>
      </c>
    </row>
    <row r="98" spans="1:2" x14ac:dyDescent="0.2">
      <c r="A98" s="85" t="s">
        <v>389</v>
      </c>
      <c r="B98" t="s">
        <v>326</v>
      </c>
    </row>
    <row r="99" spans="1:2" x14ac:dyDescent="0.2">
      <c r="A99" s="85" t="s">
        <v>390</v>
      </c>
      <c r="B99" t="s">
        <v>391</v>
      </c>
    </row>
    <row r="100" spans="1:2" x14ac:dyDescent="0.2">
      <c r="A100" s="85" t="s">
        <v>392</v>
      </c>
      <c r="B100" t="s">
        <v>326</v>
      </c>
    </row>
    <row r="101" spans="1:2" x14ac:dyDescent="0.2">
      <c r="A101" s="85" t="s">
        <v>393</v>
      </c>
      <c r="B101" t="s">
        <v>366</v>
      </c>
    </row>
    <row r="102" spans="1:2" x14ac:dyDescent="0.2">
      <c r="A102" s="85" t="s">
        <v>394</v>
      </c>
      <c r="B102" t="s">
        <v>326</v>
      </c>
    </row>
    <row r="103" spans="1:2" x14ac:dyDescent="0.2">
      <c r="A103" s="85" t="s">
        <v>395</v>
      </c>
      <c r="B103" t="s">
        <v>326</v>
      </c>
    </row>
    <row r="104" spans="1:2" x14ac:dyDescent="0.2">
      <c r="A104" s="85" t="s">
        <v>396</v>
      </c>
      <c r="B104" t="s">
        <v>326</v>
      </c>
    </row>
    <row r="105" spans="1:2" x14ac:dyDescent="0.2">
      <c r="A105" s="85" t="s">
        <v>397</v>
      </c>
      <c r="B105" t="s">
        <v>326</v>
      </c>
    </row>
    <row r="106" spans="1:2" x14ac:dyDescent="0.2">
      <c r="A106" s="85" t="s">
        <v>398</v>
      </c>
      <c r="B106" t="s">
        <v>399</v>
      </c>
    </row>
    <row r="107" spans="1:2" x14ac:dyDescent="0.2">
      <c r="A107" s="85" t="s">
        <v>400</v>
      </c>
      <c r="B107" t="s">
        <v>326</v>
      </c>
    </row>
    <row r="108" spans="1:2" x14ac:dyDescent="0.2">
      <c r="A108" s="85" t="s">
        <v>401</v>
      </c>
      <c r="B108" t="s">
        <v>402</v>
      </c>
    </row>
    <row r="109" spans="1:2" x14ac:dyDescent="0.2">
      <c r="A109" s="85" t="s">
        <v>403</v>
      </c>
      <c r="B109" t="s">
        <v>326</v>
      </c>
    </row>
    <row r="110" spans="1:2" x14ac:dyDescent="0.2">
      <c r="A110" s="85" t="s">
        <v>404</v>
      </c>
      <c r="B110" t="s">
        <v>326</v>
      </c>
    </row>
    <row r="111" spans="1:2" x14ac:dyDescent="0.2">
      <c r="A111" s="85" t="s">
        <v>405</v>
      </c>
      <c r="B111" t="s">
        <v>313</v>
      </c>
    </row>
    <row r="112" spans="1:2" x14ac:dyDescent="0.2">
      <c r="A112" s="85" t="s">
        <v>406</v>
      </c>
      <c r="B112" t="s">
        <v>326</v>
      </c>
    </row>
    <row r="113" spans="1:2" x14ac:dyDescent="0.2">
      <c r="A113" s="85" t="s">
        <v>407</v>
      </c>
      <c r="B113" t="s">
        <v>326</v>
      </c>
    </row>
    <row r="114" spans="1:2" x14ac:dyDescent="0.2">
      <c r="A114" s="85" t="s">
        <v>408</v>
      </c>
      <c r="B114" t="s">
        <v>409</v>
      </c>
    </row>
    <row r="115" spans="1:2" x14ac:dyDescent="0.2">
      <c r="A115" s="85" t="s">
        <v>410</v>
      </c>
      <c r="B115" t="s">
        <v>281</v>
      </c>
    </row>
    <row r="116" spans="1:2" x14ac:dyDescent="0.2">
      <c r="A116" s="85" t="s">
        <v>411</v>
      </c>
      <c r="B116" t="s">
        <v>366</v>
      </c>
    </row>
    <row r="117" spans="1:2" x14ac:dyDescent="0.2">
      <c r="A117" s="85" t="s">
        <v>412</v>
      </c>
      <c r="B117" t="s">
        <v>281</v>
      </c>
    </row>
    <row r="118" spans="1:2" x14ac:dyDescent="0.2">
      <c r="A118" s="85" t="s">
        <v>413</v>
      </c>
      <c r="B118" t="s">
        <v>326</v>
      </c>
    </row>
    <row r="119" spans="1:2" x14ac:dyDescent="0.2">
      <c r="A119" s="85" t="s">
        <v>414</v>
      </c>
      <c r="B119" t="s">
        <v>281</v>
      </c>
    </row>
    <row r="120" spans="1:2" x14ac:dyDescent="0.2">
      <c r="A120" s="85" t="s">
        <v>415</v>
      </c>
      <c r="B120" t="s">
        <v>326</v>
      </c>
    </row>
    <row r="121" spans="1:2" x14ac:dyDescent="0.2">
      <c r="A121" s="85" t="s">
        <v>416</v>
      </c>
      <c r="B121" t="s">
        <v>326</v>
      </c>
    </row>
    <row r="122" spans="1:2" x14ac:dyDescent="0.2">
      <c r="A122" s="85" t="s">
        <v>417</v>
      </c>
      <c r="B122" t="s">
        <v>313</v>
      </c>
    </row>
    <row r="123" spans="1:2" x14ac:dyDescent="0.2">
      <c r="A123" s="85" t="s">
        <v>418</v>
      </c>
      <c r="B123" t="s">
        <v>409</v>
      </c>
    </row>
    <row r="124" spans="1:2" x14ac:dyDescent="0.2">
      <c r="A124" s="85" t="s">
        <v>419</v>
      </c>
      <c r="B124" t="s">
        <v>366</v>
      </c>
    </row>
    <row r="125" spans="1:2" x14ac:dyDescent="0.2">
      <c r="A125" s="85" t="s">
        <v>420</v>
      </c>
      <c r="B125" t="s">
        <v>281</v>
      </c>
    </row>
    <row r="126" spans="1:2" x14ac:dyDescent="0.2">
      <c r="A126" s="85" t="s">
        <v>421</v>
      </c>
      <c r="B126" t="s">
        <v>281</v>
      </c>
    </row>
    <row r="127" spans="1:2" x14ac:dyDescent="0.2">
      <c r="A127" s="85" t="s">
        <v>422</v>
      </c>
      <c r="B127" t="s">
        <v>281</v>
      </c>
    </row>
    <row r="128" spans="1:2" x14ac:dyDescent="0.2">
      <c r="A128" s="85" t="s">
        <v>423</v>
      </c>
      <c r="B128" t="s">
        <v>281</v>
      </c>
    </row>
    <row r="129" spans="1:2" x14ac:dyDescent="0.2">
      <c r="A129" s="85" t="s">
        <v>424</v>
      </c>
      <c r="B129" t="s">
        <v>326</v>
      </c>
    </row>
    <row r="130" spans="1:2" x14ac:dyDescent="0.2">
      <c r="A130" s="85" t="s">
        <v>425</v>
      </c>
      <c r="B130" t="s">
        <v>326</v>
      </c>
    </row>
    <row r="131" spans="1:2" x14ac:dyDescent="0.2">
      <c r="A131" s="85" t="s">
        <v>426</v>
      </c>
      <c r="B131" t="s">
        <v>326</v>
      </c>
    </row>
    <row r="132" spans="1:2" x14ac:dyDescent="0.2">
      <c r="A132" s="85" t="s">
        <v>427</v>
      </c>
      <c r="B132" t="s">
        <v>326</v>
      </c>
    </row>
    <row r="133" spans="1:2" x14ac:dyDescent="0.2">
      <c r="A133" s="85" t="s">
        <v>428</v>
      </c>
      <c r="B133" t="s">
        <v>326</v>
      </c>
    </row>
    <row r="134" spans="1:2" x14ac:dyDescent="0.2">
      <c r="A134" s="85" t="s">
        <v>429</v>
      </c>
      <c r="B134" t="s">
        <v>281</v>
      </c>
    </row>
    <row r="135" spans="1:2" x14ac:dyDescent="0.2">
      <c r="A135" s="85" t="s">
        <v>430</v>
      </c>
      <c r="B135" t="s">
        <v>294</v>
      </c>
    </row>
    <row r="136" spans="1:2" x14ac:dyDescent="0.2">
      <c r="A136" s="85" t="s">
        <v>431</v>
      </c>
      <c r="B136" t="s">
        <v>292</v>
      </c>
    </row>
    <row r="137" spans="1:2" x14ac:dyDescent="0.2">
      <c r="A137" s="85" t="s">
        <v>432</v>
      </c>
      <c r="B137" t="s">
        <v>294</v>
      </c>
    </row>
    <row r="138" spans="1:2" x14ac:dyDescent="0.2">
      <c r="A138" s="85" t="s">
        <v>433</v>
      </c>
      <c r="B138" t="s">
        <v>326</v>
      </c>
    </row>
    <row r="139" spans="1:2" x14ac:dyDescent="0.2">
      <c r="A139" s="85" t="s">
        <v>434</v>
      </c>
      <c r="B139" t="s">
        <v>435</v>
      </c>
    </row>
    <row r="140" spans="1:2" x14ac:dyDescent="0.2">
      <c r="A140" s="85" t="s">
        <v>436</v>
      </c>
      <c r="B140" t="s">
        <v>294</v>
      </c>
    </row>
    <row r="141" spans="1:2" x14ac:dyDescent="0.2">
      <c r="A141" s="85" t="s">
        <v>437</v>
      </c>
      <c r="B141" t="s">
        <v>294</v>
      </c>
    </row>
    <row r="142" spans="1:2" x14ac:dyDescent="0.2">
      <c r="A142" s="85" t="s">
        <v>438</v>
      </c>
      <c r="B142" t="s">
        <v>281</v>
      </c>
    </row>
    <row r="143" spans="1:2" x14ac:dyDescent="0.2">
      <c r="A143" s="85" t="s">
        <v>439</v>
      </c>
      <c r="B143" t="s">
        <v>294</v>
      </c>
    </row>
    <row r="144" spans="1:2" x14ac:dyDescent="0.2">
      <c r="A144" s="85" t="s">
        <v>440</v>
      </c>
      <c r="B144" t="s">
        <v>294</v>
      </c>
    </row>
    <row r="145" spans="1:2" x14ac:dyDescent="0.2">
      <c r="A145" s="85" t="s">
        <v>441</v>
      </c>
      <c r="B145" t="s">
        <v>292</v>
      </c>
    </row>
    <row r="146" spans="1:2" x14ac:dyDescent="0.2">
      <c r="A146" s="85" t="s">
        <v>442</v>
      </c>
      <c r="B146" t="s">
        <v>292</v>
      </c>
    </row>
    <row r="147" spans="1:2" x14ac:dyDescent="0.2">
      <c r="A147" s="85" t="s">
        <v>443</v>
      </c>
      <c r="B147" t="s">
        <v>444</v>
      </c>
    </row>
    <row r="148" spans="1:2" x14ac:dyDescent="0.2">
      <c r="A148" s="85" t="s">
        <v>445</v>
      </c>
      <c r="B148" t="s">
        <v>281</v>
      </c>
    </row>
    <row r="149" spans="1:2" x14ac:dyDescent="0.2">
      <c r="A149" s="85" t="s">
        <v>446</v>
      </c>
      <c r="B149" t="s">
        <v>281</v>
      </c>
    </row>
    <row r="150" spans="1:2" x14ac:dyDescent="0.2">
      <c r="A150" s="85" t="s">
        <v>447</v>
      </c>
      <c r="B150" t="s">
        <v>283</v>
      </c>
    </row>
    <row r="151" spans="1:2" x14ac:dyDescent="0.2">
      <c r="A151" s="85" t="s">
        <v>448</v>
      </c>
      <c r="B151" t="s">
        <v>281</v>
      </c>
    </row>
    <row r="152" spans="1:2" x14ac:dyDescent="0.2">
      <c r="A152" s="85" t="s">
        <v>449</v>
      </c>
      <c r="B152" t="s">
        <v>450</v>
      </c>
    </row>
    <row r="153" spans="1:2" x14ac:dyDescent="0.2">
      <c r="A153" s="85" t="s">
        <v>451</v>
      </c>
      <c r="B153" t="s">
        <v>301</v>
      </c>
    </row>
    <row r="154" spans="1:2" x14ac:dyDescent="0.2">
      <c r="A154" s="85" t="s">
        <v>452</v>
      </c>
      <c r="B154" t="s">
        <v>281</v>
      </c>
    </row>
    <row r="155" spans="1:2" x14ac:dyDescent="0.2">
      <c r="A155" s="85" t="s">
        <v>453</v>
      </c>
      <c r="B155" t="s">
        <v>281</v>
      </c>
    </row>
    <row r="156" spans="1:2" x14ac:dyDescent="0.2">
      <c r="A156" s="85" t="s">
        <v>454</v>
      </c>
      <c r="B156" t="s">
        <v>281</v>
      </c>
    </row>
    <row r="157" spans="1:2" x14ac:dyDescent="0.2">
      <c r="A157" s="85" t="s">
        <v>455</v>
      </c>
      <c r="B157" t="s">
        <v>313</v>
      </c>
    </row>
    <row r="158" spans="1:2" x14ac:dyDescent="0.2">
      <c r="A158" s="85" t="s">
        <v>456</v>
      </c>
      <c r="B158" t="s">
        <v>313</v>
      </c>
    </row>
    <row r="159" spans="1:2" x14ac:dyDescent="0.2">
      <c r="A159" s="85" t="s">
        <v>457</v>
      </c>
      <c r="B159" t="s">
        <v>313</v>
      </c>
    </row>
    <row r="160" spans="1:2" x14ac:dyDescent="0.2">
      <c r="A160" s="85" t="s">
        <v>458</v>
      </c>
      <c r="B160" t="s">
        <v>313</v>
      </c>
    </row>
    <row r="161" spans="1:2" x14ac:dyDescent="0.2">
      <c r="A161" s="85" t="s">
        <v>459</v>
      </c>
      <c r="B161" t="s">
        <v>313</v>
      </c>
    </row>
    <row r="162" spans="1:2" x14ac:dyDescent="0.2">
      <c r="A162" s="85" t="s">
        <v>460</v>
      </c>
      <c r="B162" t="s">
        <v>326</v>
      </c>
    </row>
    <row r="163" spans="1:2" x14ac:dyDescent="0.2">
      <c r="A163" s="85" t="s">
        <v>461</v>
      </c>
      <c r="B163" t="s">
        <v>462</v>
      </c>
    </row>
    <row r="164" spans="1:2" x14ac:dyDescent="0.2">
      <c r="A164" s="85" t="s">
        <v>463</v>
      </c>
      <c r="B164" t="s">
        <v>301</v>
      </c>
    </row>
    <row r="165" spans="1:2" x14ac:dyDescent="0.2">
      <c r="A165" s="85" t="s">
        <v>464</v>
      </c>
      <c r="B165" t="s">
        <v>281</v>
      </c>
    </row>
    <row r="166" spans="1:2" x14ac:dyDescent="0.2">
      <c r="A166" s="85" t="s">
        <v>465</v>
      </c>
      <c r="B166" t="s">
        <v>313</v>
      </c>
    </row>
    <row r="167" spans="1:2" x14ac:dyDescent="0.2">
      <c r="A167" s="85" t="s">
        <v>466</v>
      </c>
      <c r="B167" t="s">
        <v>313</v>
      </c>
    </row>
    <row r="168" spans="1:2" x14ac:dyDescent="0.2">
      <c r="A168" s="85" t="s">
        <v>467</v>
      </c>
      <c r="B168" t="s">
        <v>313</v>
      </c>
    </row>
    <row r="169" spans="1:2" x14ac:dyDescent="0.2">
      <c r="A169" s="85" t="s">
        <v>468</v>
      </c>
      <c r="B169" t="s">
        <v>313</v>
      </c>
    </row>
    <row r="170" spans="1:2" x14ac:dyDescent="0.2">
      <c r="A170" s="85" t="s">
        <v>469</v>
      </c>
      <c r="B170" t="s">
        <v>470</v>
      </c>
    </row>
    <row r="171" spans="1:2" x14ac:dyDescent="0.2">
      <c r="A171" s="85" t="s">
        <v>471</v>
      </c>
      <c r="B171" t="s">
        <v>313</v>
      </c>
    </row>
    <row r="172" spans="1:2" x14ac:dyDescent="0.2">
      <c r="A172" s="85" t="s">
        <v>472</v>
      </c>
      <c r="B172" t="s">
        <v>313</v>
      </c>
    </row>
    <row r="173" spans="1:2" x14ac:dyDescent="0.2">
      <c r="A173" s="85" t="s">
        <v>473</v>
      </c>
      <c r="B173" t="s">
        <v>313</v>
      </c>
    </row>
    <row r="174" spans="1:2" x14ac:dyDescent="0.2">
      <c r="A174" s="85" t="s">
        <v>474</v>
      </c>
      <c r="B174" t="s">
        <v>313</v>
      </c>
    </row>
    <row r="175" spans="1:2" x14ac:dyDescent="0.2">
      <c r="A175" s="85" t="s">
        <v>475</v>
      </c>
      <c r="B175" t="s">
        <v>281</v>
      </c>
    </row>
    <row r="176" spans="1:2" x14ac:dyDescent="0.2">
      <c r="A176" s="85" t="s">
        <v>476</v>
      </c>
      <c r="B176" t="s">
        <v>313</v>
      </c>
    </row>
    <row r="177" spans="1:2" x14ac:dyDescent="0.2">
      <c r="A177" s="85" t="s">
        <v>477</v>
      </c>
      <c r="B177" t="s">
        <v>478</v>
      </c>
    </row>
    <row r="178" spans="1:2" x14ac:dyDescent="0.2">
      <c r="A178" s="85" t="s">
        <v>479</v>
      </c>
      <c r="B178" t="s">
        <v>480</v>
      </c>
    </row>
    <row r="179" spans="1:2" x14ac:dyDescent="0.2">
      <c r="A179" s="85" t="s">
        <v>481</v>
      </c>
      <c r="B179" t="s">
        <v>301</v>
      </c>
    </row>
    <row r="180" spans="1:2" x14ac:dyDescent="0.2">
      <c r="A180" s="85" t="s">
        <v>482</v>
      </c>
      <c r="B180" t="s">
        <v>281</v>
      </c>
    </row>
    <row r="181" spans="1:2" x14ac:dyDescent="0.2">
      <c r="A181" s="85" t="s">
        <v>483</v>
      </c>
      <c r="B181" t="s">
        <v>301</v>
      </c>
    </row>
    <row r="182" spans="1:2" x14ac:dyDescent="0.2">
      <c r="A182" s="85" t="s">
        <v>484</v>
      </c>
      <c r="B182" t="s">
        <v>301</v>
      </c>
    </row>
    <row r="183" spans="1:2" x14ac:dyDescent="0.2">
      <c r="A183" s="85" t="s">
        <v>485</v>
      </c>
      <c r="B183" t="s">
        <v>281</v>
      </c>
    </row>
    <row r="184" spans="1:2" x14ac:dyDescent="0.2">
      <c r="A184" s="85" t="s">
        <v>486</v>
      </c>
      <c r="B184" t="s">
        <v>301</v>
      </c>
    </row>
    <row r="185" spans="1:2" x14ac:dyDescent="0.2">
      <c r="A185" s="85" t="s">
        <v>487</v>
      </c>
      <c r="B185" t="s">
        <v>301</v>
      </c>
    </row>
    <row r="186" spans="1:2" x14ac:dyDescent="0.2">
      <c r="A186" s="85" t="s">
        <v>488</v>
      </c>
      <c r="B186" t="s">
        <v>301</v>
      </c>
    </row>
    <row r="187" spans="1:2" x14ac:dyDescent="0.2">
      <c r="A187" s="85" t="s">
        <v>489</v>
      </c>
      <c r="B187" t="s">
        <v>301</v>
      </c>
    </row>
    <row r="188" spans="1:2" x14ac:dyDescent="0.2">
      <c r="A188" s="85" t="s">
        <v>490</v>
      </c>
      <c r="B188" t="s">
        <v>281</v>
      </c>
    </row>
    <row r="189" spans="1:2" x14ac:dyDescent="0.2">
      <c r="A189" s="85" t="s">
        <v>491</v>
      </c>
      <c r="B189" t="s">
        <v>301</v>
      </c>
    </row>
    <row r="190" spans="1:2" x14ac:dyDescent="0.2">
      <c r="A190" s="85" t="s">
        <v>492</v>
      </c>
      <c r="B190" t="s">
        <v>281</v>
      </c>
    </row>
    <row r="191" spans="1:2" x14ac:dyDescent="0.2">
      <c r="A191" s="85" t="s">
        <v>493</v>
      </c>
      <c r="B191" t="s">
        <v>494</v>
      </c>
    </row>
    <row r="192" spans="1:2" x14ac:dyDescent="0.2">
      <c r="A192" s="85" t="s">
        <v>495</v>
      </c>
      <c r="B192" t="s">
        <v>301</v>
      </c>
    </row>
    <row r="193" spans="1:2" x14ac:dyDescent="0.2">
      <c r="A193" s="85" t="s">
        <v>496</v>
      </c>
      <c r="B193" t="s">
        <v>326</v>
      </c>
    </row>
    <row r="194" spans="1:2" x14ac:dyDescent="0.2">
      <c r="A194" s="85" t="s">
        <v>497</v>
      </c>
      <c r="B194" t="s">
        <v>301</v>
      </c>
    </row>
    <row r="195" spans="1:2" x14ac:dyDescent="0.2">
      <c r="A195" s="85" t="s">
        <v>498</v>
      </c>
      <c r="B195" t="s">
        <v>301</v>
      </c>
    </row>
    <row r="196" spans="1:2" x14ac:dyDescent="0.2">
      <c r="A196" s="85" t="s">
        <v>499</v>
      </c>
      <c r="B196" t="s">
        <v>500</v>
      </c>
    </row>
    <row r="197" spans="1:2" x14ac:dyDescent="0.2">
      <c r="A197" s="85" t="s">
        <v>501</v>
      </c>
      <c r="B197" t="s">
        <v>301</v>
      </c>
    </row>
    <row r="198" spans="1:2" x14ac:dyDescent="0.2">
      <c r="A198" s="85" t="s">
        <v>502</v>
      </c>
      <c r="B198" t="s">
        <v>369</v>
      </c>
    </row>
    <row r="199" spans="1:2" x14ac:dyDescent="0.2">
      <c r="A199" s="85" t="s">
        <v>503</v>
      </c>
      <c r="B199" t="s">
        <v>504</v>
      </c>
    </row>
    <row r="200" spans="1:2" x14ac:dyDescent="0.2">
      <c r="A200" s="85" t="s">
        <v>505</v>
      </c>
      <c r="B200" t="s">
        <v>326</v>
      </c>
    </row>
    <row r="201" spans="1:2" x14ac:dyDescent="0.2">
      <c r="A201" s="85" t="s">
        <v>506</v>
      </c>
      <c r="B201" t="s">
        <v>281</v>
      </c>
    </row>
    <row r="202" spans="1:2" x14ac:dyDescent="0.2">
      <c r="A202" s="85" t="s">
        <v>507</v>
      </c>
      <c r="B202" t="s">
        <v>508</v>
      </c>
    </row>
    <row r="203" spans="1:2" x14ac:dyDescent="0.2">
      <c r="A203" s="85" t="s">
        <v>509</v>
      </c>
      <c r="B203" t="s">
        <v>326</v>
      </c>
    </row>
    <row r="204" spans="1:2" x14ac:dyDescent="0.2">
      <c r="A204" s="85" t="s">
        <v>510</v>
      </c>
      <c r="B204" t="s">
        <v>326</v>
      </c>
    </row>
    <row r="205" spans="1:2" x14ac:dyDescent="0.2">
      <c r="A205" s="85" t="s">
        <v>511</v>
      </c>
      <c r="B205" t="s">
        <v>301</v>
      </c>
    </row>
    <row r="206" spans="1:2" x14ac:dyDescent="0.2">
      <c r="A206" s="85" t="s">
        <v>512</v>
      </c>
      <c r="B206" t="s">
        <v>281</v>
      </c>
    </row>
    <row r="207" spans="1:2" x14ac:dyDescent="0.2">
      <c r="A207" s="85" t="s">
        <v>513</v>
      </c>
      <c r="B207" t="s">
        <v>356</v>
      </c>
    </row>
    <row r="208" spans="1:2" x14ac:dyDescent="0.2">
      <c r="A208" s="85" t="s">
        <v>514</v>
      </c>
      <c r="B208" t="s">
        <v>515</v>
      </c>
    </row>
    <row r="209" spans="1:2" x14ac:dyDescent="0.2">
      <c r="A209" s="85" t="s">
        <v>516</v>
      </c>
      <c r="B209" t="s">
        <v>279</v>
      </c>
    </row>
    <row r="210" spans="1:2" x14ac:dyDescent="0.2">
      <c r="A210" s="85" t="s">
        <v>517</v>
      </c>
      <c r="B210" t="s">
        <v>518</v>
      </c>
    </row>
    <row r="211" spans="1:2" x14ac:dyDescent="0.2">
      <c r="A211" s="85" t="s">
        <v>519</v>
      </c>
      <c r="B211" t="s">
        <v>298</v>
      </c>
    </row>
    <row r="212" spans="1:2" x14ac:dyDescent="0.2">
      <c r="A212" s="85" t="s">
        <v>520</v>
      </c>
      <c r="B212" t="s">
        <v>313</v>
      </c>
    </row>
    <row r="213" spans="1:2" x14ac:dyDescent="0.2">
      <c r="A213" s="85" t="s">
        <v>521</v>
      </c>
      <c r="B213" t="s">
        <v>518</v>
      </c>
    </row>
    <row r="214" spans="1:2" x14ac:dyDescent="0.2">
      <c r="A214" s="85" t="s">
        <v>522</v>
      </c>
      <c r="B214" t="s">
        <v>298</v>
      </c>
    </row>
    <row r="215" spans="1:2" x14ac:dyDescent="0.2">
      <c r="A215" s="85" t="s">
        <v>523</v>
      </c>
      <c r="B215" t="s">
        <v>298</v>
      </c>
    </row>
    <row r="216" spans="1:2" x14ac:dyDescent="0.2">
      <c r="A216" s="85" t="s">
        <v>524</v>
      </c>
      <c r="B216" t="s">
        <v>518</v>
      </c>
    </row>
    <row r="217" spans="1:2" x14ac:dyDescent="0.2">
      <c r="A217" s="85" t="s">
        <v>525</v>
      </c>
      <c r="B217" t="s">
        <v>298</v>
      </c>
    </row>
    <row r="218" spans="1:2" x14ac:dyDescent="0.2">
      <c r="A218" s="85" t="s">
        <v>526</v>
      </c>
      <c r="B218" t="s">
        <v>527</v>
      </c>
    </row>
    <row r="219" spans="1:2" x14ac:dyDescent="0.2">
      <c r="A219" s="85" t="s">
        <v>528</v>
      </c>
      <c r="B219" t="s">
        <v>529</v>
      </c>
    </row>
    <row r="220" spans="1:2" x14ac:dyDescent="0.2">
      <c r="A220" s="85" t="s">
        <v>530</v>
      </c>
      <c r="B220" t="s">
        <v>518</v>
      </c>
    </row>
    <row r="221" spans="1:2" x14ac:dyDescent="0.2">
      <c r="A221" s="85" t="s">
        <v>531</v>
      </c>
      <c r="B221" t="s">
        <v>532</v>
      </c>
    </row>
    <row r="222" spans="1:2" x14ac:dyDescent="0.2">
      <c r="A222" s="85" t="s">
        <v>533</v>
      </c>
      <c r="B222" t="s">
        <v>534</v>
      </c>
    </row>
    <row r="223" spans="1:2" x14ac:dyDescent="0.2">
      <c r="A223" s="85" t="s">
        <v>535</v>
      </c>
      <c r="B223" t="s">
        <v>536</v>
      </c>
    </row>
    <row r="224" spans="1:2" x14ac:dyDescent="0.2">
      <c r="A224" s="85" t="s">
        <v>537</v>
      </c>
      <c r="B224" t="s">
        <v>518</v>
      </c>
    </row>
    <row r="225" spans="1:2" x14ac:dyDescent="0.2">
      <c r="A225" s="85" t="s">
        <v>538</v>
      </c>
      <c r="B225" t="s">
        <v>470</v>
      </c>
    </row>
    <row r="226" spans="1:2" x14ac:dyDescent="0.2">
      <c r="A226" s="85" t="s">
        <v>539</v>
      </c>
      <c r="B226" t="s">
        <v>480</v>
      </c>
    </row>
    <row r="227" spans="1:2" x14ac:dyDescent="0.2">
      <c r="A227" s="85" t="s">
        <v>540</v>
      </c>
      <c r="B227" t="s">
        <v>369</v>
      </c>
    </row>
    <row r="228" spans="1:2" x14ac:dyDescent="0.2">
      <c r="A228" s="85" t="s">
        <v>541</v>
      </c>
      <c r="B228" t="s">
        <v>518</v>
      </c>
    </row>
    <row r="229" spans="1:2" x14ac:dyDescent="0.2">
      <c r="A229" s="85" t="s">
        <v>542</v>
      </c>
      <c r="B229" t="s">
        <v>543</v>
      </c>
    </row>
    <row r="230" spans="1:2" x14ac:dyDescent="0.2">
      <c r="A230" s="85" t="s">
        <v>544</v>
      </c>
      <c r="B230" t="s">
        <v>545</v>
      </c>
    </row>
    <row r="231" spans="1:2" x14ac:dyDescent="0.2">
      <c r="A231" s="85" t="s">
        <v>546</v>
      </c>
      <c r="B231" t="s">
        <v>547</v>
      </c>
    </row>
    <row r="232" spans="1:2" x14ac:dyDescent="0.2">
      <c r="A232" s="85" t="s">
        <v>548</v>
      </c>
      <c r="B232" t="s">
        <v>518</v>
      </c>
    </row>
    <row r="233" spans="1:2" x14ac:dyDescent="0.2">
      <c r="A233" s="85" t="s">
        <v>549</v>
      </c>
      <c r="B233" t="s">
        <v>356</v>
      </c>
    </row>
    <row r="234" spans="1:2" x14ac:dyDescent="0.2">
      <c r="A234" s="85" t="s">
        <v>550</v>
      </c>
      <c r="B234" t="s">
        <v>281</v>
      </c>
    </row>
    <row r="235" spans="1:2" x14ac:dyDescent="0.2">
      <c r="A235" s="85" t="s">
        <v>551</v>
      </c>
      <c r="B235" t="s">
        <v>281</v>
      </c>
    </row>
    <row r="236" spans="1:2" x14ac:dyDescent="0.2">
      <c r="A236" s="85" t="s">
        <v>552</v>
      </c>
      <c r="B236" t="s">
        <v>281</v>
      </c>
    </row>
    <row r="237" spans="1:2" x14ac:dyDescent="0.2">
      <c r="A237" s="85" t="s">
        <v>553</v>
      </c>
      <c r="B237" t="s">
        <v>279</v>
      </c>
    </row>
    <row r="238" spans="1:2" x14ac:dyDescent="0.2">
      <c r="A238" s="85" t="s">
        <v>554</v>
      </c>
      <c r="B238" t="s">
        <v>555</v>
      </c>
    </row>
    <row r="239" spans="1:2" x14ac:dyDescent="0.2">
      <c r="A239" s="85" t="s">
        <v>556</v>
      </c>
      <c r="B239" t="s">
        <v>281</v>
      </c>
    </row>
    <row r="240" spans="1:2" x14ac:dyDescent="0.2">
      <c r="A240" s="85" t="s">
        <v>557</v>
      </c>
      <c r="B240" t="s">
        <v>294</v>
      </c>
    </row>
    <row r="241" spans="1:2" x14ac:dyDescent="0.2">
      <c r="A241" s="85" t="s">
        <v>558</v>
      </c>
      <c r="B241" t="s">
        <v>559</v>
      </c>
    </row>
    <row r="242" spans="1:2" x14ac:dyDescent="0.2">
      <c r="A242" s="85" t="s">
        <v>560</v>
      </c>
      <c r="B242" t="s">
        <v>561</v>
      </c>
    </row>
    <row r="243" spans="1:2" x14ac:dyDescent="0.2">
      <c r="A243" s="85" t="s">
        <v>562</v>
      </c>
      <c r="B243" t="s">
        <v>326</v>
      </c>
    </row>
    <row r="244" spans="1:2" x14ac:dyDescent="0.2">
      <c r="A244" s="85" t="s">
        <v>563</v>
      </c>
      <c r="B244" t="s">
        <v>564</v>
      </c>
    </row>
    <row r="245" spans="1:2" x14ac:dyDescent="0.2">
      <c r="A245" s="85" t="s">
        <v>565</v>
      </c>
      <c r="B245" t="s">
        <v>281</v>
      </c>
    </row>
    <row r="246" spans="1:2" x14ac:dyDescent="0.2">
      <c r="A246" s="85" t="s">
        <v>566</v>
      </c>
      <c r="B246" t="s">
        <v>281</v>
      </c>
    </row>
    <row r="247" spans="1:2" x14ac:dyDescent="0.2">
      <c r="A247" s="85" t="s">
        <v>567</v>
      </c>
      <c r="B247" t="s">
        <v>568</v>
      </c>
    </row>
    <row r="248" spans="1:2" x14ac:dyDescent="0.2">
      <c r="A248" s="85" t="s">
        <v>569</v>
      </c>
      <c r="B248" t="s">
        <v>532</v>
      </c>
    </row>
    <row r="249" spans="1:2" x14ac:dyDescent="0.2">
      <c r="A249" s="85" t="s">
        <v>570</v>
      </c>
      <c r="B249" t="s">
        <v>571</v>
      </c>
    </row>
    <row r="250" spans="1:2" x14ac:dyDescent="0.2">
      <c r="A250" s="85" t="s">
        <v>572</v>
      </c>
      <c r="B250" t="s">
        <v>573</v>
      </c>
    </row>
    <row r="251" spans="1:2" x14ac:dyDescent="0.2">
      <c r="A251" s="85" t="s">
        <v>574</v>
      </c>
      <c r="B251" t="s">
        <v>281</v>
      </c>
    </row>
    <row r="252" spans="1:2" x14ac:dyDescent="0.2">
      <c r="A252" s="85" t="s">
        <v>575</v>
      </c>
      <c r="B252" t="s">
        <v>301</v>
      </c>
    </row>
    <row r="253" spans="1:2" x14ac:dyDescent="0.2">
      <c r="A253" s="85" t="s">
        <v>576</v>
      </c>
      <c r="B253" t="s">
        <v>283</v>
      </c>
    </row>
    <row r="254" spans="1:2" x14ac:dyDescent="0.2">
      <c r="A254" s="85" t="s">
        <v>577</v>
      </c>
      <c r="B254" t="s">
        <v>578</v>
      </c>
    </row>
    <row r="255" spans="1:2" x14ac:dyDescent="0.2">
      <c r="A255" s="85" t="s">
        <v>579</v>
      </c>
      <c r="B255" t="s">
        <v>369</v>
      </c>
    </row>
    <row r="256" spans="1:2" x14ac:dyDescent="0.2">
      <c r="A256" s="85" t="s">
        <v>580</v>
      </c>
      <c r="B256" t="s">
        <v>326</v>
      </c>
    </row>
    <row r="257" spans="1:2" x14ac:dyDescent="0.2">
      <c r="A257" s="85" t="s">
        <v>581</v>
      </c>
      <c r="B257" t="s">
        <v>313</v>
      </c>
    </row>
    <row r="258" spans="1:2" x14ac:dyDescent="0.2">
      <c r="A258" s="85" t="s">
        <v>582</v>
      </c>
      <c r="B258" t="s">
        <v>313</v>
      </c>
    </row>
    <row r="259" spans="1:2" x14ac:dyDescent="0.2">
      <c r="A259" s="85" t="s">
        <v>583</v>
      </c>
      <c r="B259" t="s">
        <v>313</v>
      </c>
    </row>
    <row r="260" spans="1:2" x14ac:dyDescent="0.2">
      <c r="A260" s="85" t="s">
        <v>584</v>
      </c>
      <c r="B260" t="s">
        <v>313</v>
      </c>
    </row>
    <row r="261" spans="1:2" x14ac:dyDescent="0.2">
      <c r="A261" s="85" t="s">
        <v>585</v>
      </c>
      <c r="B261" t="s">
        <v>313</v>
      </c>
    </row>
    <row r="262" spans="1:2" x14ac:dyDescent="0.2">
      <c r="A262" s="85" t="s">
        <v>586</v>
      </c>
      <c r="B262" t="s">
        <v>281</v>
      </c>
    </row>
    <row r="263" spans="1:2" x14ac:dyDescent="0.2">
      <c r="A263" s="85" t="s">
        <v>587</v>
      </c>
      <c r="B263" t="s">
        <v>313</v>
      </c>
    </row>
    <row r="264" spans="1:2" x14ac:dyDescent="0.2">
      <c r="A264" s="85" t="s">
        <v>588</v>
      </c>
      <c r="B264" t="s">
        <v>313</v>
      </c>
    </row>
    <row r="265" spans="1:2" x14ac:dyDescent="0.2">
      <c r="A265" s="85" t="s">
        <v>589</v>
      </c>
      <c r="B265" t="s">
        <v>313</v>
      </c>
    </row>
    <row r="266" spans="1:2" x14ac:dyDescent="0.2">
      <c r="A266" s="85" t="s">
        <v>590</v>
      </c>
      <c r="B266" t="s">
        <v>313</v>
      </c>
    </row>
    <row r="267" spans="1:2" x14ac:dyDescent="0.2">
      <c r="A267" s="85" t="s">
        <v>591</v>
      </c>
      <c r="B267" t="s">
        <v>313</v>
      </c>
    </row>
    <row r="268" spans="1:2" x14ac:dyDescent="0.2">
      <c r="A268" s="85" t="s">
        <v>592</v>
      </c>
      <c r="B268" t="s">
        <v>313</v>
      </c>
    </row>
    <row r="269" spans="1:2" x14ac:dyDescent="0.2">
      <c r="A269" s="85" t="s">
        <v>593</v>
      </c>
      <c r="B269" t="s">
        <v>313</v>
      </c>
    </row>
    <row r="270" spans="1:2" x14ac:dyDescent="0.2">
      <c r="A270" s="85" t="s">
        <v>594</v>
      </c>
      <c r="B270" t="s">
        <v>313</v>
      </c>
    </row>
    <row r="271" spans="1:2" x14ac:dyDescent="0.2">
      <c r="A271" s="85" t="s">
        <v>595</v>
      </c>
      <c r="B271" t="s">
        <v>313</v>
      </c>
    </row>
    <row r="272" spans="1:2" x14ac:dyDescent="0.2">
      <c r="A272" s="85" t="s">
        <v>596</v>
      </c>
      <c r="B272" t="s">
        <v>313</v>
      </c>
    </row>
    <row r="273" spans="1:2" x14ac:dyDescent="0.2">
      <c r="A273" s="85" t="s">
        <v>597</v>
      </c>
      <c r="B273" t="s">
        <v>313</v>
      </c>
    </row>
    <row r="274" spans="1:2" x14ac:dyDescent="0.2">
      <c r="A274" s="85" t="s">
        <v>598</v>
      </c>
      <c r="B274" t="s">
        <v>313</v>
      </c>
    </row>
    <row r="275" spans="1:2" x14ac:dyDescent="0.2">
      <c r="A275" s="85" t="s">
        <v>599</v>
      </c>
      <c r="B275" t="s">
        <v>326</v>
      </c>
    </row>
    <row r="276" spans="1:2" x14ac:dyDescent="0.2">
      <c r="A276" s="85" t="s">
        <v>600</v>
      </c>
      <c r="B276" t="s">
        <v>281</v>
      </c>
    </row>
    <row r="277" spans="1:2" x14ac:dyDescent="0.2">
      <c r="A277" s="85" t="s">
        <v>601</v>
      </c>
      <c r="B277" t="s">
        <v>326</v>
      </c>
    </row>
    <row r="278" spans="1:2" x14ac:dyDescent="0.2">
      <c r="A278" s="85" t="s">
        <v>602</v>
      </c>
      <c r="B278" t="s">
        <v>369</v>
      </c>
    </row>
    <row r="279" spans="1:2" x14ac:dyDescent="0.2">
      <c r="A279" s="85" t="s">
        <v>603</v>
      </c>
      <c r="B279" t="s">
        <v>326</v>
      </c>
    </row>
    <row r="280" spans="1:2" x14ac:dyDescent="0.2">
      <c r="A280" s="85" t="s">
        <v>604</v>
      </c>
      <c r="B280" t="s">
        <v>283</v>
      </c>
    </row>
    <row r="281" spans="1:2" x14ac:dyDescent="0.2">
      <c r="A281" s="85" t="s">
        <v>605</v>
      </c>
      <c r="B281" t="s">
        <v>281</v>
      </c>
    </row>
    <row r="282" spans="1:2" x14ac:dyDescent="0.2">
      <c r="A282" s="85" t="s">
        <v>606</v>
      </c>
      <c r="B282" t="s">
        <v>283</v>
      </c>
    </row>
    <row r="283" spans="1:2" x14ac:dyDescent="0.2">
      <c r="A283" s="85" t="s">
        <v>607</v>
      </c>
      <c r="B283" t="s">
        <v>281</v>
      </c>
    </row>
    <row r="284" spans="1:2" x14ac:dyDescent="0.2">
      <c r="A284" s="85" t="s">
        <v>608</v>
      </c>
      <c r="B284" t="s">
        <v>326</v>
      </c>
    </row>
    <row r="285" spans="1:2" x14ac:dyDescent="0.2">
      <c r="A285" s="85" t="s">
        <v>609</v>
      </c>
      <c r="B285" t="s">
        <v>281</v>
      </c>
    </row>
    <row r="286" spans="1:2" x14ac:dyDescent="0.2">
      <c r="A286" s="85" t="s">
        <v>610</v>
      </c>
      <c r="B286" t="s">
        <v>298</v>
      </c>
    </row>
    <row r="287" spans="1:2" x14ac:dyDescent="0.2">
      <c r="A287" s="85" t="s">
        <v>611</v>
      </c>
      <c r="B287" t="s">
        <v>326</v>
      </c>
    </row>
    <row r="288" spans="1:2" x14ac:dyDescent="0.2">
      <c r="A288" s="85" t="s">
        <v>612</v>
      </c>
      <c r="B288" t="s">
        <v>613</v>
      </c>
    </row>
    <row r="289" spans="1:2" x14ac:dyDescent="0.2">
      <c r="A289" s="85" t="s">
        <v>614</v>
      </c>
      <c r="B289" t="s">
        <v>294</v>
      </c>
    </row>
    <row r="290" spans="1:2" x14ac:dyDescent="0.2">
      <c r="A290" s="85" t="s">
        <v>615</v>
      </c>
      <c r="B290" t="s">
        <v>281</v>
      </c>
    </row>
    <row r="291" spans="1:2" x14ac:dyDescent="0.2">
      <c r="A291" s="85" t="s">
        <v>616</v>
      </c>
      <c r="B291" t="s">
        <v>281</v>
      </c>
    </row>
    <row r="292" spans="1:2" x14ac:dyDescent="0.2">
      <c r="A292" s="85" t="s">
        <v>617</v>
      </c>
      <c r="B292" t="s">
        <v>281</v>
      </c>
    </row>
    <row r="293" spans="1:2" x14ac:dyDescent="0.2">
      <c r="A293" s="85" t="s">
        <v>618</v>
      </c>
      <c r="B293" t="s">
        <v>281</v>
      </c>
    </row>
    <row r="294" spans="1:2" x14ac:dyDescent="0.2">
      <c r="A294" s="85" t="s">
        <v>619</v>
      </c>
      <c r="B294" t="s">
        <v>281</v>
      </c>
    </row>
    <row r="295" spans="1:2" x14ac:dyDescent="0.2">
      <c r="A295" s="85" t="s">
        <v>620</v>
      </c>
      <c r="B295" t="s">
        <v>294</v>
      </c>
    </row>
    <row r="296" spans="1:2" x14ac:dyDescent="0.2">
      <c r="A296" s="85" t="s">
        <v>621</v>
      </c>
      <c r="B296" t="s">
        <v>536</v>
      </c>
    </row>
    <row r="297" spans="1:2" x14ac:dyDescent="0.2">
      <c r="A297" s="85" t="s">
        <v>622</v>
      </c>
      <c r="B297" t="s">
        <v>281</v>
      </c>
    </row>
    <row r="298" spans="1:2" x14ac:dyDescent="0.2">
      <c r="A298" s="85" t="s">
        <v>623</v>
      </c>
      <c r="B298" t="s">
        <v>281</v>
      </c>
    </row>
    <row r="299" spans="1:2" x14ac:dyDescent="0.2">
      <c r="A299" s="85" t="s">
        <v>624</v>
      </c>
      <c r="B299" t="s">
        <v>281</v>
      </c>
    </row>
    <row r="300" spans="1:2" x14ac:dyDescent="0.2">
      <c r="A300" s="85" t="s">
        <v>625</v>
      </c>
      <c r="B300" t="s">
        <v>435</v>
      </c>
    </row>
    <row r="301" spans="1:2" x14ac:dyDescent="0.2">
      <c r="A301" s="85" t="s">
        <v>626</v>
      </c>
      <c r="B301" t="s">
        <v>281</v>
      </c>
    </row>
    <row r="302" spans="1:2" x14ac:dyDescent="0.2">
      <c r="A302" s="85" t="s">
        <v>627</v>
      </c>
      <c r="B302" t="s">
        <v>281</v>
      </c>
    </row>
    <row r="303" spans="1:2" x14ac:dyDescent="0.2">
      <c r="A303" s="85" t="s">
        <v>628</v>
      </c>
      <c r="B303" t="s">
        <v>292</v>
      </c>
    </row>
    <row r="304" spans="1:2" x14ac:dyDescent="0.2">
      <c r="A304" s="85" t="s">
        <v>629</v>
      </c>
      <c r="B304" t="s">
        <v>292</v>
      </c>
    </row>
    <row r="305" spans="1:2" x14ac:dyDescent="0.2">
      <c r="A305" s="85" t="s">
        <v>630</v>
      </c>
      <c r="B305" t="s">
        <v>294</v>
      </c>
    </row>
    <row r="306" spans="1:2" x14ac:dyDescent="0.2">
      <c r="A306" s="85" t="s">
        <v>631</v>
      </c>
      <c r="B306" t="s">
        <v>294</v>
      </c>
    </row>
    <row r="307" spans="1:2" x14ac:dyDescent="0.2">
      <c r="A307" s="85" t="s">
        <v>632</v>
      </c>
      <c r="B307" t="s">
        <v>294</v>
      </c>
    </row>
    <row r="308" spans="1:2" x14ac:dyDescent="0.2">
      <c r="A308" s="85" t="s">
        <v>633</v>
      </c>
      <c r="B308" t="s">
        <v>281</v>
      </c>
    </row>
    <row r="309" spans="1:2" x14ac:dyDescent="0.2">
      <c r="A309" s="85" t="s">
        <v>634</v>
      </c>
      <c r="B309" t="s">
        <v>281</v>
      </c>
    </row>
    <row r="310" spans="1:2" x14ac:dyDescent="0.2">
      <c r="A310" s="85" t="s">
        <v>635</v>
      </c>
      <c r="B310" t="s">
        <v>281</v>
      </c>
    </row>
    <row r="311" spans="1:2" x14ac:dyDescent="0.2">
      <c r="A311" s="85" t="s">
        <v>636</v>
      </c>
      <c r="B311" t="s">
        <v>294</v>
      </c>
    </row>
    <row r="312" spans="1:2" x14ac:dyDescent="0.2">
      <c r="A312" s="85" t="s">
        <v>637</v>
      </c>
      <c r="B312" t="s">
        <v>292</v>
      </c>
    </row>
    <row r="313" spans="1:2" x14ac:dyDescent="0.2">
      <c r="A313" s="85" t="s">
        <v>638</v>
      </c>
      <c r="B313" t="s">
        <v>326</v>
      </c>
    </row>
    <row r="314" spans="1:2" x14ac:dyDescent="0.2">
      <c r="A314" s="85" t="s">
        <v>639</v>
      </c>
      <c r="B314" t="s">
        <v>294</v>
      </c>
    </row>
    <row r="315" spans="1:2" x14ac:dyDescent="0.2">
      <c r="A315" s="85" t="s">
        <v>640</v>
      </c>
      <c r="B315" t="s">
        <v>292</v>
      </c>
    </row>
    <row r="316" spans="1:2" x14ac:dyDescent="0.2">
      <c r="A316" s="85" t="s">
        <v>641</v>
      </c>
      <c r="B316" t="s">
        <v>281</v>
      </c>
    </row>
    <row r="317" spans="1:2" x14ac:dyDescent="0.2">
      <c r="A317" s="85" t="s">
        <v>642</v>
      </c>
      <c r="B317" t="s">
        <v>326</v>
      </c>
    </row>
    <row r="318" spans="1:2" x14ac:dyDescent="0.2">
      <c r="A318" s="85" t="s">
        <v>643</v>
      </c>
      <c r="B318" t="s">
        <v>292</v>
      </c>
    </row>
    <row r="319" spans="1:2" x14ac:dyDescent="0.2">
      <c r="A319" s="85" t="s">
        <v>644</v>
      </c>
      <c r="B319" t="s">
        <v>292</v>
      </c>
    </row>
    <row r="320" spans="1:2" x14ac:dyDescent="0.2">
      <c r="A320" s="85" t="s">
        <v>645</v>
      </c>
      <c r="B320" t="s">
        <v>279</v>
      </c>
    </row>
    <row r="321" spans="1:2" x14ac:dyDescent="0.2">
      <c r="A321" s="85" t="s">
        <v>646</v>
      </c>
      <c r="B321" t="s">
        <v>435</v>
      </c>
    </row>
    <row r="322" spans="1:2" x14ac:dyDescent="0.2">
      <c r="A322" s="85" t="s">
        <v>647</v>
      </c>
      <c r="B322" t="s">
        <v>292</v>
      </c>
    </row>
    <row r="323" spans="1:2" x14ac:dyDescent="0.2">
      <c r="A323" s="85" t="s">
        <v>648</v>
      </c>
      <c r="B323" t="s">
        <v>294</v>
      </c>
    </row>
    <row r="324" spans="1:2" x14ac:dyDescent="0.2">
      <c r="A324" s="85" t="s">
        <v>649</v>
      </c>
      <c r="B324" t="s">
        <v>518</v>
      </c>
    </row>
  </sheetData>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3:H28"/>
  <sheetViews>
    <sheetView workbookViewId="0">
      <selection activeCell="B4" sqref="B4"/>
    </sheetView>
  </sheetViews>
  <sheetFormatPr baseColWidth="10" defaultColWidth="8.83203125" defaultRowHeight="16" x14ac:dyDescent="0.2"/>
  <cols>
    <col min="2" max="2" width="27.33203125" customWidth="1"/>
    <col min="3" max="3" width="13.1640625" bestFit="1" customWidth="1"/>
    <col min="4" max="4" width="12.1640625" customWidth="1"/>
    <col min="5" max="5" width="20.5" bestFit="1" customWidth="1"/>
    <col min="7" max="7" width="16.83203125" customWidth="1"/>
    <col min="8" max="8" width="13.5" bestFit="1" customWidth="1"/>
  </cols>
  <sheetData>
    <row r="3" spans="2:8" x14ac:dyDescent="0.2">
      <c r="B3" t="str" cm="1">
        <f t="array" ref="B3:B5">ipClassless(_xlfn.ANCHORARRAY(H3))</f>
        <v>192.168.0.1/24</v>
      </c>
      <c r="G3" t="s">
        <v>208</v>
      </c>
      <c r="H3" t="str" cm="1">
        <f t="array" ref="H3:H5">_xlfn.UNIQUE(G3:G5)</f>
        <v>192.168.0.1/24</v>
      </c>
    </row>
    <row r="4" spans="2:8" x14ac:dyDescent="0.2">
      <c r="B4" t="str">
        <v>10.0.0.0/8</v>
      </c>
      <c r="G4" t="s">
        <v>653</v>
      </c>
      <c r="H4" t="str">
        <v>10.0.0.0</v>
      </c>
    </row>
    <row r="5" spans="2:8" x14ac:dyDescent="0.2">
      <c r="B5" t="str">
        <v>172.16.0.1/16</v>
      </c>
      <c r="G5" t="s">
        <v>654</v>
      </c>
      <c r="H5" t="str">
        <v>172.16.0.1</v>
      </c>
    </row>
    <row r="9" spans="2:8" x14ac:dyDescent="0.2">
      <c r="B9" t="s">
        <v>650</v>
      </c>
    </row>
    <row r="10" spans="2:8" x14ac:dyDescent="0.2">
      <c r="B10" t="str">
        <f>ipAddress("2001::/64",2)</f>
        <v>2001::/64</v>
      </c>
    </row>
    <row r="11" spans="2:8" x14ac:dyDescent="0.2">
      <c r="B11" t="e">
        <f>ipSubAddress(B10,401)</f>
        <v>#NUM!</v>
      </c>
      <c r="C11" t="str">
        <f>ipSubNext(B10,2,,)</f>
        <v>2001:0:0:1::/64</v>
      </c>
      <c r="D11" t="str">
        <f>ipHostFirst(C11,,)</f>
        <v>2001:0:0:1::1</v>
      </c>
      <c r="E11" t="str">
        <f>ipHostLast(C11)</f>
        <v>2001::1:ffff:ffff:ffff:ff7f</v>
      </c>
    </row>
    <row r="12" spans="2:8" x14ac:dyDescent="0.2">
      <c r="C12" t="str">
        <f>ipSubNext(C11,2,,$B$9)</f>
        <v>2001:0:0:2::/64</v>
      </c>
      <c r="D12" t="str">
        <f t="shared" ref="D12:D28" si="0">ipHostFirst(C12,,)</f>
        <v>2001:0:0:2::1</v>
      </c>
      <c r="E12" t="str">
        <f t="shared" ref="E12:E28" si="1">ipHostLast(C12)</f>
        <v>2001::2:ffff:ffff:ffff:ff7f</v>
      </c>
    </row>
    <row r="13" spans="2:8" x14ac:dyDescent="0.2">
      <c r="C13" t="str">
        <f t="shared" ref="C13:C28" si="2">ipSubNext(C12,2,,$B$9)</f>
        <v>2001:0:0:3::/64</v>
      </c>
      <c r="D13" t="str">
        <f t="shared" si="0"/>
        <v>2001:0:0:3::1</v>
      </c>
      <c r="E13" t="str">
        <f t="shared" si="1"/>
        <v>2001::3:ffff:ffff:ffff:ff7f</v>
      </c>
    </row>
    <row r="14" spans="2:8" x14ac:dyDescent="0.2">
      <c r="C14" t="str">
        <f t="shared" si="2"/>
        <v>2001:0:0:4::/64</v>
      </c>
      <c r="D14" t="str">
        <f t="shared" si="0"/>
        <v>2001:0:0:4::1</v>
      </c>
      <c r="E14" t="str">
        <f t="shared" si="1"/>
        <v>2001::4:ffff:ffff:ffff:ff7f</v>
      </c>
    </row>
    <row r="15" spans="2:8" x14ac:dyDescent="0.2">
      <c r="C15" t="str">
        <f t="shared" si="2"/>
        <v>2001:0:0:5::/64</v>
      </c>
      <c r="D15" t="str">
        <f t="shared" si="0"/>
        <v>2001:0:0:5::1</v>
      </c>
      <c r="E15" t="str">
        <f t="shared" si="1"/>
        <v>2001::5:ffff:ffff:ffff:ff7f</v>
      </c>
    </row>
    <row r="16" spans="2:8" x14ac:dyDescent="0.2">
      <c r="C16" t="str">
        <f t="shared" si="2"/>
        <v>2001:0:0:6::/64</v>
      </c>
      <c r="D16" t="str">
        <f t="shared" si="0"/>
        <v>2001:0:0:6::1</v>
      </c>
      <c r="E16" t="str">
        <f t="shared" si="1"/>
        <v>2001::6:ffff:ffff:ffff:ff7f</v>
      </c>
    </row>
    <row r="17" spans="3:5" x14ac:dyDescent="0.2">
      <c r="C17" t="str">
        <f t="shared" si="2"/>
        <v>2001:0:0:7::/64</v>
      </c>
      <c r="D17" t="str">
        <f t="shared" si="0"/>
        <v>2001:0:0:7::1</v>
      </c>
      <c r="E17" t="str">
        <f t="shared" si="1"/>
        <v>2001::7:ffff:ffff:ffff:ff7f</v>
      </c>
    </row>
    <row r="18" spans="3:5" x14ac:dyDescent="0.2">
      <c r="C18" t="str">
        <f t="shared" si="2"/>
        <v>2001:0:0:8::/64</v>
      </c>
      <c r="D18" t="str">
        <f t="shared" si="0"/>
        <v>2001:0:0:8::1</v>
      </c>
      <c r="E18" t="str">
        <f t="shared" si="1"/>
        <v>2001::8:ffff:ffff:ffff:ff7f</v>
      </c>
    </row>
    <row r="19" spans="3:5" x14ac:dyDescent="0.2">
      <c r="C19" t="str">
        <f t="shared" si="2"/>
        <v>2001:0:0:9::/64</v>
      </c>
      <c r="D19" t="str">
        <f t="shared" si="0"/>
        <v>2001:0:0:9::1</v>
      </c>
      <c r="E19" t="str">
        <f t="shared" si="1"/>
        <v>2001::9:ffff:ffff:ffff:ff7f</v>
      </c>
    </row>
    <row r="20" spans="3:5" x14ac:dyDescent="0.2">
      <c r="C20" t="str">
        <f t="shared" si="2"/>
        <v>2001:0:0:a::/64</v>
      </c>
      <c r="D20" t="str">
        <f t="shared" si="0"/>
        <v>2001:0:0:a::1</v>
      </c>
      <c r="E20" t="str">
        <f t="shared" si="1"/>
        <v>2001::a:ffff:ffff:ffff:ff7f</v>
      </c>
    </row>
    <row r="21" spans="3:5" x14ac:dyDescent="0.2">
      <c r="C21" t="str">
        <f t="shared" si="2"/>
        <v>2001:0:0:b::/64</v>
      </c>
      <c r="D21" t="str">
        <f t="shared" si="0"/>
        <v>2001:0:0:b::1</v>
      </c>
      <c r="E21" t="str">
        <f t="shared" si="1"/>
        <v>2001::b:ffff:ffff:ffff:ff7f</v>
      </c>
    </row>
    <row r="22" spans="3:5" x14ac:dyDescent="0.2">
      <c r="C22" t="str">
        <f t="shared" si="2"/>
        <v>2001:0:0:c::/64</v>
      </c>
      <c r="D22" t="str">
        <f t="shared" si="0"/>
        <v>2001:0:0:c::1</v>
      </c>
      <c r="E22" t="str">
        <f t="shared" si="1"/>
        <v>2001::c:ffff:ffff:ffff:ff7f</v>
      </c>
    </row>
    <row r="23" spans="3:5" x14ac:dyDescent="0.2">
      <c r="C23" t="str">
        <f t="shared" si="2"/>
        <v>2001:0:0:d::/64</v>
      </c>
      <c r="D23" t="str">
        <f t="shared" si="0"/>
        <v>2001:0:0:d::1</v>
      </c>
      <c r="E23" t="str">
        <f t="shared" si="1"/>
        <v>2001::d:ffff:ffff:ffff:ff7f</v>
      </c>
    </row>
    <row r="24" spans="3:5" x14ac:dyDescent="0.2">
      <c r="C24" t="str">
        <f t="shared" si="2"/>
        <v>2001:0:0:e::/64</v>
      </c>
      <c r="D24" t="str">
        <f t="shared" si="0"/>
        <v>2001:0:0:e::1</v>
      </c>
      <c r="E24" t="str">
        <f t="shared" si="1"/>
        <v>2001::e:ffff:ffff:ffff:ff7f</v>
      </c>
    </row>
    <row r="25" spans="3:5" x14ac:dyDescent="0.2">
      <c r="C25" t="str">
        <f t="shared" si="2"/>
        <v>2001:0:0:f::/64</v>
      </c>
      <c r="D25" t="str">
        <f t="shared" si="0"/>
        <v>2001:0:0:f::1</v>
      </c>
      <c r="E25" t="str">
        <f t="shared" si="1"/>
        <v>2001::f:ffff:ffff:ffff:ff7f</v>
      </c>
    </row>
    <row r="26" spans="3:5" x14ac:dyDescent="0.2">
      <c r="C26" t="str">
        <f t="shared" si="2"/>
        <v>2001:0:0:10::/64</v>
      </c>
      <c r="D26" t="str">
        <f t="shared" si="0"/>
        <v>2001:0:0:10::1</v>
      </c>
      <c r="E26" t="str">
        <f t="shared" si="1"/>
        <v>2001::10:ffff:ffff:ffff:ff7f</v>
      </c>
    </row>
    <row r="27" spans="3:5" x14ac:dyDescent="0.2">
      <c r="C27" t="str">
        <f t="shared" si="2"/>
        <v>2001:0:0:11::/64</v>
      </c>
      <c r="D27" t="str">
        <f t="shared" si="0"/>
        <v>2001:0:0:11::1</v>
      </c>
      <c r="E27" t="str">
        <f t="shared" si="1"/>
        <v>2001::11:ffff:ffff:ffff:ff7f</v>
      </c>
    </row>
    <row r="28" spans="3:5" x14ac:dyDescent="0.2">
      <c r="C28" t="str">
        <f t="shared" si="2"/>
        <v>2001:0:0:12::/64</v>
      </c>
      <c r="D28" t="str">
        <f t="shared" si="0"/>
        <v>2001:0:0:12::1</v>
      </c>
      <c r="E28" t="str">
        <f t="shared" si="1"/>
        <v>2001::12:ffff:ffff:ffff:ff7f</v>
      </c>
    </row>
  </sheetData>
  <pageMargins left="0.7" right="0.7" top="0.75" bottom="0.75" header="0.3" footer="0.3"/>
</worksheet>
</file>

<file path=docMetadata/LabelInfo.xml><?xml version="1.0" encoding="utf-8"?>
<clbl:labelList xmlns:clbl="http://schemas.microsoft.com/office/2020/mipLabelMetadata">
  <clbl:label id="{3741da7a-79c1-417c-b408-16c0bfe99fca}" enabled="1" method="Standard" siteId="{1e355c04-e0a4-42ed-8e2d-7351591f0ef1}"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Hosts Functions</vt:lpstr>
      <vt:lpstr>Subnet Functions</vt:lpstr>
      <vt:lpstr>Summary Functions</vt:lpstr>
      <vt:lpstr>Other Functions</vt:lpstr>
      <vt:lpstr>Array Functions</vt:lpstr>
      <vt:lpstr>Macros</vt:lpstr>
      <vt:lpstr>Rules</vt:lpstr>
      <vt:lpstr>IP Formulas</vt:lpstr>
      <vt:lpstr>Prefix Table</vt:lpstr>
      <vt:lpstr>Test Sheet</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PageTitle</dc:title>
  <dc:creator>Microsoft Office User</dc:creator>
  <cp:keywords>Keywords</cp:keywords>
  <cp:lastModifiedBy>Nicolas Grison (external)</cp:lastModifiedBy>
  <dcterms:created xsi:type="dcterms:W3CDTF">2017-10-26T21:10:02Z</dcterms:created>
  <dcterms:modified xsi:type="dcterms:W3CDTF">2025-04-03T10:16:15Z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41da7a-79c1-417c-b408-16c0bfe99fca_Enabled">
    <vt:lpwstr>true</vt:lpwstr>
  </property>
  <property fmtid="{D5CDD505-2E9C-101B-9397-08002B2CF9AE}" pid="3" name="MSIP_Label_3741da7a-79c1-417c-b408-16c0bfe99fca_SetDate">
    <vt:lpwstr>2024-10-28T21:41:37Z</vt:lpwstr>
  </property>
  <property fmtid="{D5CDD505-2E9C-101B-9397-08002B2CF9AE}" pid="4" name="MSIP_Label_3741da7a-79c1-417c-b408-16c0bfe99fca_Method">
    <vt:lpwstr>Standard</vt:lpwstr>
  </property>
  <property fmtid="{D5CDD505-2E9C-101B-9397-08002B2CF9AE}" pid="5" name="MSIP_Label_3741da7a-79c1-417c-b408-16c0bfe99fca_Name">
    <vt:lpwstr>Internal Only - Amber</vt:lpwstr>
  </property>
  <property fmtid="{D5CDD505-2E9C-101B-9397-08002B2CF9AE}" pid="6" name="MSIP_Label_3741da7a-79c1-417c-b408-16c0bfe99fca_SiteId">
    <vt:lpwstr>1e355c04-e0a4-42ed-8e2d-7351591f0ef1</vt:lpwstr>
  </property>
  <property fmtid="{D5CDD505-2E9C-101B-9397-08002B2CF9AE}" pid="7" name="MSIP_Label_3741da7a-79c1-417c-b408-16c0bfe99fca_ActionId">
    <vt:lpwstr>2128aa29-966b-4ac4-818f-d315b3bb691c</vt:lpwstr>
  </property>
  <property fmtid="{D5CDD505-2E9C-101B-9397-08002B2CF9AE}" pid="8" name="MSIP_Label_3741da7a-79c1-417c-b408-16c0bfe99fca_ContentBits">
    <vt:lpwstr>0</vt:lpwstr>
  </property>
</Properties>
</file>